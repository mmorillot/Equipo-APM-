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/>
  <mc:AlternateContent xmlns:mc="http://schemas.openxmlformats.org/markup-compatibility/2006">
    <mc:Choice Requires="x15">
      <x15ac:absPath xmlns:x15ac="http://schemas.microsoft.com/office/spreadsheetml/2010/11/ac" url="C:\Users\jfsalamanca\Documents\"/>
    </mc:Choice>
  </mc:AlternateContent>
  <xr:revisionPtr revIDLastSave="0" documentId="13_ncr:1_{FA23B97A-3601-4A36-ADED-A5E8C8F5BAA6}" xr6:coauthVersionLast="36" xr6:coauthVersionMax="36" xr10:uidLastSave="{00000000-0000-0000-0000-000000000000}"/>
  <bookViews>
    <workbookView xWindow="0" yWindow="0" windowWidth="11040" windowHeight="7545" tabRatio="742" xr2:uid="{00000000-000D-0000-FFFF-FFFF00000000}"/>
  </bookViews>
  <sheets>
    <sheet name="1_Parametros_y_Supuestos" sheetId="1" r:id="rId1"/>
    <sheet name="2_CAPEX_Inversion" sheetId="2" r:id="rId2"/>
    <sheet name="3_OPEX_y_Beneficios" sheetId="3" r:id="rId3"/>
    <sheet name="4_Flujo_de_Caja_y_VPN" sheetId="4" r:id="rId4"/>
    <sheet name="5_Dashboard_Ejecutivo" sheetId="5" r:id="rId5"/>
  </sheets>
  <calcPr calcId="191029"/>
</workbook>
</file>

<file path=xl/calcChain.xml><?xml version="1.0" encoding="utf-8"?>
<calcChain xmlns="http://schemas.openxmlformats.org/spreadsheetml/2006/main">
  <c r="E11" i="4" l="1"/>
  <c r="G39" i="2"/>
  <c r="B13" i="1"/>
  <c r="E12" i="3"/>
  <c r="E19" i="3"/>
  <c r="B25" i="1"/>
  <c r="E17" i="3" s="1"/>
  <c r="F31" i="2"/>
  <c r="E31" i="2"/>
  <c r="E32" i="2" s="1"/>
  <c r="D40" i="2" s="1"/>
  <c r="B15" i="1"/>
  <c r="E6" i="3"/>
  <c r="B13" i="5"/>
  <c r="G25" i="4"/>
  <c r="D25" i="4"/>
  <c r="C25" i="4"/>
  <c r="E7" i="4"/>
  <c r="B7" i="4"/>
  <c r="F25" i="4" s="1"/>
  <c r="E6" i="4"/>
  <c r="G19" i="4" s="1"/>
  <c r="H19" i="4" s="1"/>
  <c r="B6" i="4"/>
  <c r="D39" i="2"/>
  <c r="D38" i="2"/>
  <c r="F30" i="2"/>
  <c r="F29" i="2"/>
  <c r="F28" i="2"/>
  <c r="F27" i="2"/>
  <c r="F26" i="2"/>
  <c r="F24" i="2"/>
  <c r="E24" i="2"/>
  <c r="F23" i="2"/>
  <c r="E21" i="2"/>
  <c r="F21" i="2" s="1"/>
  <c r="F20" i="2"/>
  <c r="F19" i="2"/>
  <c r="F17" i="2"/>
  <c r="E17" i="2"/>
  <c r="F16" i="2"/>
  <c r="F15" i="2"/>
  <c r="F14" i="2"/>
  <c r="F13" i="2"/>
  <c r="F12" i="2"/>
  <c r="F11" i="2"/>
  <c r="F10" i="2"/>
  <c r="F9" i="2"/>
  <c r="F8" i="2"/>
  <c r="F7" i="2"/>
  <c r="F6" i="2"/>
  <c r="B20" i="1"/>
  <c r="E33" i="2" l="1"/>
  <c r="B7" i="5" s="1"/>
  <c r="E22" i="3"/>
  <c r="F19" i="3" s="1"/>
  <c r="F6" i="3"/>
  <c r="E38" i="2"/>
  <c r="F32" i="2"/>
  <c r="E39" i="2"/>
  <c r="D37" i="2"/>
  <c r="E25" i="4"/>
  <c r="E37" i="2"/>
  <c r="B25" i="4"/>
  <c r="E40" i="2" l="1"/>
  <c r="F33" i="2"/>
  <c r="G31" i="2" s="1"/>
  <c r="B9" i="5"/>
  <c r="F18" i="3"/>
  <c r="E26" i="3"/>
  <c r="F27" i="3" s="1"/>
  <c r="F20" i="3"/>
  <c r="D11" i="4"/>
  <c r="F11" i="4"/>
  <c r="F21" i="3"/>
  <c r="G11" i="4"/>
  <c r="C11" i="4"/>
  <c r="F17" i="3"/>
  <c r="G12" i="4"/>
  <c r="C12" i="4"/>
  <c r="F11" i="3"/>
  <c r="F7" i="3"/>
  <c r="F12" i="4"/>
  <c r="F10" i="3"/>
  <c r="F8" i="3"/>
  <c r="E12" i="4"/>
  <c r="E27" i="3"/>
  <c r="F9" i="3"/>
  <c r="D12" i="4"/>
  <c r="B8" i="5"/>
  <c r="G32" i="2" l="1"/>
  <c r="F40" i="2" s="1"/>
  <c r="F12" i="3"/>
  <c r="F22" i="3"/>
  <c r="E28" i="3"/>
  <c r="F26" i="3"/>
  <c r="B10" i="4"/>
  <c r="G15" i="2"/>
  <c r="G13" i="2"/>
  <c r="G11" i="2"/>
  <c r="G9" i="2"/>
  <c r="G7" i="2"/>
  <c r="E5" i="4"/>
  <c r="B6" i="5"/>
  <c r="B5" i="4"/>
  <c r="G6" i="2"/>
  <c r="G23" i="2"/>
  <c r="G16" i="2"/>
  <c r="G26" i="2"/>
  <c r="G30" i="2"/>
  <c r="G10" i="2"/>
  <c r="G27" i="2"/>
  <c r="G19" i="2"/>
  <c r="G20" i="2"/>
  <c r="G14" i="2"/>
  <c r="G28" i="2"/>
  <c r="G8" i="2"/>
  <c r="G24" i="2"/>
  <c r="F39" i="2" s="1"/>
  <c r="G21" i="2"/>
  <c r="F38" i="2" s="1"/>
  <c r="G12" i="2"/>
  <c r="G29" i="2"/>
  <c r="G17" i="2"/>
  <c r="F13" i="4"/>
  <c r="E13" i="4"/>
  <c r="H11" i="4"/>
  <c r="C13" i="4"/>
  <c r="D13" i="4"/>
  <c r="H12" i="4"/>
  <c r="G13" i="4"/>
  <c r="F37" i="2" l="1"/>
  <c r="G33" i="2"/>
  <c r="B20" i="4"/>
  <c r="H10" i="4"/>
  <c r="H13" i="4"/>
  <c r="G14" i="4"/>
  <c r="G18" i="4" s="1"/>
  <c r="C14" i="4"/>
  <c r="F14" i="4"/>
  <c r="F18" i="4" s="1"/>
  <c r="D14" i="4"/>
  <c r="D18" i="4" s="1"/>
  <c r="E14" i="4"/>
  <c r="E18" i="4" s="1"/>
  <c r="B10" i="5"/>
  <c r="F28" i="3"/>
  <c r="C18" i="4" l="1"/>
  <c r="H18" i="4" s="1"/>
  <c r="H14" i="4"/>
  <c r="E15" i="4"/>
  <c r="B26" i="4"/>
  <c r="B27" i="4"/>
  <c r="B28" i="4" s="1"/>
  <c r="F15" i="4"/>
  <c r="D15" i="4"/>
  <c r="C15" i="4"/>
  <c r="G15" i="4"/>
  <c r="D16" i="4" l="1"/>
  <c r="D17" i="4" s="1"/>
  <c r="D20" i="4" s="1"/>
  <c r="D27" i="4" s="1"/>
  <c r="G16" i="4"/>
  <c r="G17" i="4" s="1"/>
  <c r="G20" i="4" s="1"/>
  <c r="F16" i="4"/>
  <c r="F17" i="4" s="1"/>
  <c r="F20" i="4" s="1"/>
  <c r="F27" i="4" s="1"/>
  <c r="C16" i="4"/>
  <c r="H15" i="4"/>
  <c r="E16" i="4"/>
  <c r="E17" i="4" s="1"/>
  <c r="E20" i="4" s="1"/>
  <c r="E27" i="4" s="1"/>
  <c r="H16" i="4" l="1"/>
  <c r="G27" i="4"/>
  <c r="B12" i="5"/>
  <c r="C17" i="4"/>
  <c r="H17" i="4" l="1"/>
  <c r="C20" i="4"/>
  <c r="B20" i="5" s="1"/>
  <c r="C27" i="4" l="1"/>
  <c r="B11" i="5"/>
  <c r="H20" i="4"/>
  <c r="B21" i="5" s="1"/>
  <c r="B16" i="5"/>
  <c r="B17" i="5" s="1"/>
  <c r="B15" i="5"/>
  <c r="B18" i="5"/>
  <c r="C26" i="4"/>
  <c r="D26" i="4" s="1"/>
  <c r="E26" i="4" s="1"/>
  <c r="F26" i="4" s="1"/>
  <c r="G26" i="4" s="1"/>
  <c r="H26" i="4" s="1"/>
  <c r="H27" i="4" l="1"/>
  <c r="B14" i="5" s="1"/>
  <c r="C28" i="4"/>
  <c r="D28" i="4" s="1"/>
  <c r="E28" i="4" s="1"/>
  <c r="B19" i="5" l="1"/>
  <c r="F28" i="4"/>
  <c r="G28" i="4" s="1"/>
  <c r="H28" i="4" s="1"/>
</calcChain>
</file>

<file path=xl/sharedStrings.xml><?xml version="1.0" encoding="utf-8"?>
<sst xmlns="http://schemas.openxmlformats.org/spreadsheetml/2006/main" count="391" uniqueCount="348">
  <si>
    <t>PARÁMETROS DE ENTRADA Y SUPUESTOS DEL MODELO FINANCIERO</t>
  </si>
  <si>
    <t>Proyecto: Automatización de Fin de Línea e Inspección Metrológica | Planta Láctea (Modelo Lácteos San Mateo)</t>
  </si>
  <si>
    <t>Categoría / Parámetro</t>
  </si>
  <si>
    <t>Valor</t>
  </si>
  <si>
    <t>Unidad</t>
  </si>
  <si>
    <t>Descripción / Fuente Técnica y Financiera</t>
  </si>
  <si>
    <t>PARÁMETROS MACROFINANCIEROS Y TRIBUTARIOS</t>
  </si>
  <si>
    <t>Tasa de Cambio Representativa (TRM)</t>
  </si>
  <si>
    <t>COP / USD</t>
  </si>
  <si>
    <t>Tasa de cambio base para nacionalización de hardware (Oct 2026)</t>
  </si>
  <si>
    <t>Horizonte de Evaluación</t>
  </si>
  <si>
    <t>Años</t>
  </si>
  <si>
    <t>Período de proyección del flujo de caja libre operativo</t>
  </si>
  <si>
    <t>Tasa de Interés de Oportunidad (TIO / WACC)</t>
  </si>
  <si>
    <t>% E.A.</t>
  </si>
  <si>
    <t>Costo promedio ponderado de capital sector lácteo en Colombia</t>
  </si>
  <si>
    <t>Impuesto sobre la Renta Corporativa</t>
  </si>
  <si>
    <t>%</t>
  </si>
  <si>
    <t>Tarifa estatutaria vigente en Colombia</t>
  </si>
  <si>
    <t>Vida Útil de Depreciación Fiscal</t>
  </si>
  <si>
    <t>Depreciación en línea recta sin valor residual contable intermedio</t>
  </si>
  <si>
    <t>Valor de Salvamento de Mercado (Año 5)</t>
  </si>
  <si>
    <t>COP</t>
  </si>
  <si>
    <t>Valor de reposición conservador (~8,1% del activo inicial)</t>
  </si>
  <si>
    <t>PARÁMETROS OPERATIVOS Y DE CONSUMO ENERGÉTICO</t>
  </si>
  <si>
    <t>Días Laborales al Año</t>
  </si>
  <si>
    <t>días/año</t>
  </si>
  <si>
    <t>Horas por Turno Continuo</t>
  </si>
  <si>
    <t>horas/día</t>
  </si>
  <si>
    <t>1 turno diario de empaque y paletizado en cámara a 8°C</t>
  </si>
  <si>
    <t>Horas Operativas Anuales</t>
  </si>
  <si>
    <t>horas/año</t>
  </si>
  <si>
    <t>Total de horas de operación efectiva al año</t>
  </si>
  <si>
    <t>Potencia Promedio - Robot Yaskawa PL80</t>
  </si>
  <si>
    <t>kW</t>
  </si>
  <si>
    <t>Consumo medio del manipulador de 4 ejes y controlador YRC1000</t>
  </si>
  <si>
    <t>Potencia Promedio - Compresor Atlas Copco</t>
  </si>
  <si>
    <t>G 7P-10 FF ciclando bajo demanda de vacío de garra Schmalz</t>
  </si>
  <si>
    <t>Potencia Promedio - Rodillos e Indexadores</t>
  </si>
  <si>
    <t>Transportador Interroll MDR 24V y actuadores neumáticos</t>
  </si>
  <si>
    <t>Potencia Promedio - Báscula y Visión</t>
  </si>
  <si>
    <t>Checkweigher dinámico AISI 304L + cámara matricial IP67</t>
  </si>
  <si>
    <t>Potencia Total Demandada por la Celda</t>
  </si>
  <si>
    <t>Demanda eléctrica consolidada en operación continua</t>
  </si>
  <si>
    <t>Tarifa Media Industrial Regulada</t>
  </si>
  <si>
    <t>COP / kWh</t>
  </si>
  <si>
    <t>Costo unitario de energía eléctrica industrial</t>
  </si>
  <si>
    <t>PARÁMETROS DE PRODUCCIÓN, METROLOGÍA Y NÓMINA</t>
  </si>
  <si>
    <t>Producción Diaria de Queso</t>
  </si>
  <si>
    <t>unidades/día</t>
  </si>
  <si>
    <t>Reducción Media de Sobrepeso (Giveaway)</t>
  </si>
  <si>
    <t>kg/unidad</t>
  </si>
  <si>
    <t>Queso Recuperado por Día</t>
  </si>
  <si>
    <t>kg/día</t>
  </si>
  <si>
    <t>Materia prima ahorrada diariamente por control metrológico</t>
  </si>
  <si>
    <t>Costo de Materia Prima (Queso Terminado)</t>
  </si>
  <si>
    <t>COP / kg</t>
  </si>
  <si>
    <t>Costo directo de producción por kilogramo de queso</t>
  </si>
  <si>
    <t>Operarios Reasignados de Cuarto Frío (8°C)</t>
  </si>
  <si>
    <t>operarios</t>
  </si>
  <si>
    <t>Personal liberado de estiba manual y reasignado a salmuera/calidad</t>
  </si>
  <si>
    <t>Costo Mensual Consolidado por Operario (MOD)</t>
  </si>
  <si>
    <t>COP / mes</t>
  </si>
  <si>
    <t>SMMLV + auxilio transporte + 52% factor prestacional y dotación térmica</t>
  </si>
  <si>
    <t>Meses Liquidados al Año</t>
  </si>
  <si>
    <t>meses/año</t>
  </si>
  <si>
    <t>Período anual de nómina directa</t>
  </si>
  <si>
    <t>PRESUPUESTO DETALLADO DE INVERSIÓN INICIAL (CAPEX)</t>
  </si>
  <si>
    <t>Desglose de Hardware de Paletizado, Instrumentación Metrológica, Comercio Exterior e Ingeniería de Integración</t>
  </si>
  <si>
    <t>Ítem</t>
  </si>
  <si>
    <t>Componente / Subsistema</t>
  </si>
  <si>
    <t>Fabricante y Referencia</t>
  </si>
  <si>
    <t>Especificaciones Técnicas</t>
  </si>
  <si>
    <t>Costo (USD)</t>
  </si>
  <si>
    <t>Costo (COP)</t>
  </si>
  <si>
    <t>% Participación</t>
  </si>
  <si>
    <t>A</t>
  </si>
  <si>
    <t>Hardware de Paletizado y Fuerza</t>
  </si>
  <si>
    <t>1.1</t>
  </si>
  <si>
    <t>Manipulador Robótico Industrial</t>
  </si>
  <si>
    <t>Yaskawa Motoman PL80</t>
  </si>
  <si>
    <t>4 ejes, carga máx. 80 kg, alcance 2.061 mm, muñeca IP67 apta para frío.</t>
  </si>
  <si>
    <t>1.2</t>
  </si>
  <si>
    <t>Gabinete Controlador de Celda</t>
  </si>
  <si>
    <t>Yaskawa YRC1000</t>
  </si>
  <si>
    <t>Controlador compacto con buses de campo PROFINET y Ethernet/IP.</t>
  </si>
  <si>
    <t>1.3</t>
  </si>
  <si>
    <t>Teach Pendant de Operación</t>
  </si>
  <si>
    <t>Yaskawa JZRCR-YPP21-1</t>
  </si>
  <si>
    <t>Consola táctil ergonómica con cable flexible apantallado de 8 m.</t>
  </si>
  <si>
    <t>1.4</t>
  </si>
  <si>
    <t>Mazo de Cables Extendidos</t>
  </si>
  <si>
    <t>Yaskawa Kit 15 m</t>
  </si>
  <si>
    <t>Potencia y encoders de 15 m para situar el gabinete fuera del cuarto frío.</t>
  </si>
  <si>
    <t>1.5</t>
  </si>
  <si>
    <t>Gripper (Placa de Vacío)</t>
  </si>
  <si>
    <t>Schmalz FXP-440-3R36-O10-F</t>
  </si>
  <si>
    <t>Placa de esponja EPDM con eyectores neumáticos multi-etapa integrados.</t>
  </si>
  <si>
    <t>1.6</t>
  </si>
  <si>
    <t>Brida de Acople Mecánico</t>
  </si>
  <si>
    <t>Schmalz FLA-FXP-ISO-9409-1</t>
  </si>
  <si>
    <t>Acople normalizado ISO al vástago del eje 4 del manipulador PL80.</t>
  </si>
  <si>
    <t>1.7</t>
  </si>
  <si>
    <t>Compresor de Tornillo Rotativo</t>
  </si>
  <si>
    <t>Atlas Copco G 7P-10 FF</t>
  </si>
  <si>
    <t>7,5 kW (10 HP), 38 CFM @ 10 bar, secador frigorífico integrado (+3°C).</t>
  </si>
  <si>
    <t>1.8</t>
  </si>
  <si>
    <t>Tanque Pulmón y Filtración</t>
  </si>
  <si>
    <t>Vertical 500 L + Filtro UD 15+</t>
  </si>
  <si>
    <t>Acumulador 11 bar, purga automática y filtración coalescente 0,01 µm.</t>
  </si>
  <si>
    <t>1.9</t>
  </si>
  <si>
    <t>Transportador Infeed Motorizado</t>
  </si>
  <si>
    <t>Interroll MDR Serie 24V</t>
  </si>
  <si>
    <t>Rodillos RollerDrive EC5000 (2,5 m), acumulación cero presión y topes Festo.</t>
  </si>
  <si>
    <t>1.10</t>
  </si>
  <si>
    <t>Seguridad Física y Perimetral</t>
  </si>
  <si>
    <t>Troax Smart Fix + SICK deTec4</t>
  </si>
  <si>
    <t>Cerramiento metálico h=2.050 mm, cortina óptica con muting y enclavamiento Euchner.</t>
  </si>
  <si>
    <t>1.11</t>
  </si>
  <si>
    <t>Tablero Eléctrico y Pasamuros</t>
  </si>
  <si>
    <t>Siemens S7-1214FC + Roxtec</t>
  </si>
  <si>
    <t>PLC Fail-safe, HMI KTP700 7", gabinete Rittal y pasamuros térmico hermético.</t>
  </si>
  <si>
    <t>Subtotal A - Hardware de Paletizado y Fuerza</t>
  </si>
  <si>
    <t>B</t>
  </si>
  <si>
    <t>Inspección de Calidad en Línea</t>
  </si>
  <si>
    <t>2.1</t>
  </si>
  <si>
    <t>Báscula Dinámica (Checkweigher)</t>
  </si>
  <si>
    <t>Cinta pesadora AISI 304L</t>
  </si>
  <si>
    <t>Celda digital de pesaje en continuo (±0,5 g), banda de descarte y brazo neumático.</t>
  </si>
  <si>
    <t>2.2</t>
  </si>
  <si>
    <t>Sistema de Visión Artificial</t>
  </si>
  <si>
    <t>Cámara matricial IP67 industrial</t>
  </si>
  <si>
    <t>Domo polarizado, software OCR/OCV para inspección de sellos, lote y fecha.</t>
  </si>
  <si>
    <t>Subtotal B - Inspección de Calidad en Línea</t>
  </si>
  <si>
    <t>C</t>
  </si>
  <si>
    <t>Comercio Exterior y Aduana</t>
  </si>
  <si>
    <t>3.1</t>
  </si>
  <si>
    <t>Flete Internacional y Arancel</t>
  </si>
  <si>
    <t>Nacionalización consolidada</t>
  </si>
  <si>
    <t>Transporte marítimo/aéreo multimodal, seguros y arancel aduanero DIAN.</t>
  </si>
  <si>
    <t>Subtotal C - Comercio Exterior y Aduana</t>
  </si>
  <si>
    <t>D</t>
  </si>
  <si>
    <t>Servicios de Integración (Nuestra Empresa)</t>
  </si>
  <si>
    <t>4.1</t>
  </si>
  <si>
    <t>Ingeniería de Detalle y Planos</t>
  </si>
  <si>
    <t>EPLAN / Simulación cinemática</t>
  </si>
  <si>
    <t>Ingeniería eléctrica, mecánica 3D, arquitectura de seguridad ISO 10218.</t>
  </si>
  <si>
    <t>4.2</t>
  </si>
  <si>
    <t>Montaje Electromecánico</t>
  </si>
  <si>
    <t>Obra civil y mecánica a 8°C</t>
  </si>
  <si>
    <t>Canalización conduit sanitaria en acero inoxidable AISI 304 y neumática.</t>
  </si>
  <si>
    <t>4.3</t>
  </si>
  <si>
    <t>Programación y Software</t>
  </si>
  <si>
    <t>MotoPallet + TIA Portal + Visión</t>
  </si>
  <si>
    <t>Algoritmos de estibado, parametrización de visión y recetas ISA-88 en HMI.</t>
  </si>
  <si>
    <t>4.4</t>
  </si>
  <si>
    <t>Puesta en Marcha (FAT / SAT)</t>
  </si>
  <si>
    <t>Comisionamiento y calibración</t>
  </si>
  <si>
    <t>Sintonización de báscula dinámica, calibración cinemática y pruebas SAT.</t>
  </si>
  <si>
    <t>4.5</t>
  </si>
  <si>
    <t>Capacitación Técnica Certificada</t>
  </si>
  <si>
    <t>Nivel 1 (Operación) / Nivel 2</t>
  </si>
  <si>
    <t>Formación de operarios de celda y técnicos de mantenimiento de planta.</t>
  </si>
  <si>
    <t>Subtotal D - Servicios de Integración</t>
  </si>
  <si>
    <t>TOTAL</t>
  </si>
  <si>
    <t>INVERSIÓN INICIAL (I0) - SOLUCIÓN LLAVE EN MANO</t>
  </si>
  <si>
    <t>Hardware + Calidad + Integración</t>
  </si>
  <si>
    <t>82,5% Activos e Instrumentación / 17,5% Ingeniería</t>
  </si>
  <si>
    <t>RESUMEN EJECUTIVO POR SUBSISTEMA (CAPEX)</t>
  </si>
  <si>
    <t>Categoría</t>
  </si>
  <si>
    <t>Subsistema</t>
  </si>
  <si>
    <t>USD</t>
  </si>
  <si>
    <t>% Total</t>
  </si>
  <si>
    <t>Servicios de Integración</t>
  </si>
  <si>
    <t>COSTOS OPERATIVOS ANUALES (OPEX), BENEFICIOS Y MARGEN EBITDA</t>
  </si>
  <si>
    <t>Cálculo paramétrico de gastos de operación continua (2.496 h/año) y ahorros proyectados en planta</t>
  </si>
  <si>
    <t>1. DESGLOSE DE COSTOS OPERATIVOS ANUALES (OPEX)</t>
  </si>
  <si>
    <t>Rubro Operativo (OPEX)</t>
  </si>
  <si>
    <t>Base de Cálculo / Frecuencia</t>
  </si>
  <si>
    <t>Criterio Técnico y Operativo</t>
  </si>
  <si>
    <t>Costo Anual (COP)</t>
  </si>
  <si>
    <t>% OPEX</t>
  </si>
  <si>
    <t>Consumo de Energía Eléctrica</t>
  </si>
  <si>
    <t>16.473,6 kWh/año @ $850/kWh</t>
  </si>
  <si>
    <t>Potencia media 6,6 kW (Robot 1,8 kW + Compresor 3,2 kW + Rodillos 0,8 kW + Calidad 0,8 kW) x 2.496 h/año</t>
  </si>
  <si>
    <t>3.2</t>
  </si>
  <si>
    <t>Consumibles de Vacío y Desgaste Mecánico</t>
  </si>
  <si>
    <t>Semestral (2 recambios/año)</t>
  </si>
  <si>
    <t>Repuesto de esponja EPDM Schmalz por desgaste mecánico y humedad en cuarto frío</t>
  </si>
  <si>
    <t>3.3</t>
  </si>
  <si>
    <t>Mantenimiento del Sistema de Compresión</t>
  </si>
  <si>
    <t>Anual preventivo</t>
  </si>
  <si>
    <t>Kit preventivo Atlas Copco (aceite sintético, elemento separador, filtros de aire y purgas)</t>
  </si>
  <si>
    <t>3.4</t>
  </si>
  <si>
    <t>Mantenimiento Preventivo del Robot</t>
  </si>
  <si>
    <t>Anual certificado</t>
  </si>
  <si>
    <t>Engrase de reductores de 4 ejes (grasa para frío), ajuste cinemático y baterías de encoders</t>
  </si>
  <si>
    <t>3.5</t>
  </si>
  <si>
    <t>Calibración y Certificación Metrológica</t>
  </si>
  <si>
    <t>Semestral certificada</t>
  </si>
  <si>
    <t>Calibración con masas patrón certificadas, reemplazo de luminarias y limpieza óptica</t>
  </si>
  <si>
    <t>3.6</t>
  </si>
  <si>
    <t>Póliza de Soporte Técnico y Licenciamiento</t>
  </si>
  <si>
    <t>Semestral programado</t>
  </si>
  <si>
    <t>Soporte por firma integradora, optimización de trayectorias, respaldo de recetas ISA-88 y soporte remoto</t>
  </si>
  <si>
    <t>OPEX TOTAL ANUAL PROYECTADO</t>
  </si>
  <si>
    <t>Operación 312 días/año</t>
  </si>
  <si>
    <t>Representa el 11,58% de los ahorros brutos anuales generados</t>
  </si>
  <si>
    <t>2. BENEFICIOS Y AHORROS ANUALES ESTIMADOS (INGRESOS INCREMENTALES / AHORROS)</t>
  </si>
  <si>
    <t>Fuente de Ahorro / Beneficio Operativo</t>
  </si>
  <si>
    <t>Parámetro de Impacto</t>
  </si>
  <si>
    <t>Justificación Técnica y Financiera</t>
  </si>
  <si>
    <t>Ahorro Anual (COP)</t>
  </si>
  <si>
    <t>% Ahorro</t>
  </si>
  <si>
    <t>Mitigación de Sobrepeso (Giveaway - Báscula Dinámica)</t>
  </si>
  <si>
    <t>30 kg/día x $12.500/kg x 312 días</t>
  </si>
  <si>
    <t>Supresión de Pérdidas por Fugas de Vacío y Marcaje (Visión)</t>
  </si>
  <si>
    <t>Inspección 100% termoformados</t>
  </si>
  <si>
    <t>Detección de microarrugas en sello, grasa atrapada y defectos de lote/fecha (OCR/OCV)</t>
  </si>
  <si>
    <t>Optimización de Mano de Obra Directa (MOD) en Frío</t>
  </si>
  <si>
    <t>2 operarios x $2.600.000/mes x 12</t>
  </si>
  <si>
    <t>Reducción de Mermas por Desplome y Aplastamiento</t>
  </si>
  <si>
    <t>Mosaico cruzado MotoPallet</t>
  </si>
  <si>
    <t>Eliminación de daño mecánico en cajas basales de 15 kg gracias al agarre plano Schmalz</t>
  </si>
  <si>
    <t>Disminución de Costos Ocultos por Incapacidades (ARL)</t>
  </si>
  <si>
    <t>Ergonomía e higiene postural</t>
  </si>
  <si>
    <t>Erradicación de levantamiento repetitivo en frío, reduciendo ausentismo y riesgo osteomuscular</t>
  </si>
  <si>
    <t>AHORRO BRUTO ANUAL CONSOLIDADO</t>
  </si>
  <si>
    <t>5 pilares de eficiencia</t>
  </si>
  <si>
    <t>3. CONSOLIDACIÓN DE MÁRGENES OPERATIVOS ANUALES (EBITDA DE LA CELDA)</t>
  </si>
  <si>
    <t>(+) Ahorro Bruto Anual</t>
  </si>
  <si>
    <t>(-) Costos Operativos Anuales (OPEX)</t>
  </si>
  <si>
    <t>(=) MARGEN OPERATIVO BRUTO (EBITDA ANUAL DE LA CELDA)</t>
  </si>
  <si>
    <t>PROYECCIÓN DEL FLUJO DE CAJA LIBRE OPERATIVO (FCLO A 5 AÑOS) Y ANÁLISIS DE PAYBACK</t>
  </si>
  <si>
    <t>Estado de resultados proyectado, escudo fiscal por depreciación lineal, flujos descontados al 13,50% E.A. y recuperación</t>
  </si>
  <si>
    <t>PREMISAS FINANCIERAS Y TRIBUTARIAS APLICADAS AL FLUJO</t>
  </si>
  <si>
    <t>Inversión Inicial (I0):</t>
  </si>
  <si>
    <t>Depreciación Anual (5 años):</t>
  </si>
  <si>
    <t>Impuesto de Renta:</t>
  </si>
  <si>
    <t>Valor de Salvamento (Año 5):</t>
  </si>
  <si>
    <t>Tasa de Descuento (TIO):</t>
  </si>
  <si>
    <t>Horizonte del Proyecto:</t>
  </si>
  <si>
    <t>Rubro Financiero (COP)</t>
  </si>
  <si>
    <t>Año 0</t>
  </si>
  <si>
    <t>Año 1</t>
  </si>
  <si>
    <t>Año 2</t>
  </si>
  <si>
    <t>Año 3</t>
  </si>
  <si>
    <t>Año 4</t>
  </si>
  <si>
    <t>Año 5</t>
  </si>
  <si>
    <t>Total Acumulado (1-5)</t>
  </si>
  <si>
    <t>Inversión Inicial (I0)</t>
  </si>
  <si>
    <t>(+) Ahorros Brutos Operativos</t>
  </si>
  <si>
    <t>(-) Costos Operativos (OPEX)</t>
  </si>
  <si>
    <t>(=) EBITDA (Margen Operativo Bruto)</t>
  </si>
  <si>
    <t>(-) Depreciación Fiscal Línea Recta</t>
  </si>
  <si>
    <t>(=) Utilidad Antes de Impuestos (EBIT)</t>
  </si>
  <si>
    <t>(-) Impuesto sobre la Renta (35%)</t>
  </si>
  <si>
    <t>(=) Utilidad Neta del Proyecto</t>
  </si>
  <si>
    <t>(+) Reversión de Depreciación Fiscal</t>
  </si>
  <si>
    <t>(+) Valor de Salvamento (Vs)</t>
  </si>
  <si>
    <t>Flujo de Caja Libre Operativo (FCLO)</t>
  </si>
  <si>
    <t>ANÁLISIS DE DESCUENTO DE FLUJOS (TIO = 13,50% E.A.) Y RECUPERACIÓN DE CAPITAL (PAYBACK)</t>
  </si>
  <si>
    <t>Período (Año t)</t>
  </si>
  <si>
    <t>N/A</t>
  </si>
  <si>
    <t>Factor de Descuento [1 / (1 + TIO)^t]</t>
  </si>
  <si>
    <t>Flujo de Caja Nominal Acumulado (Payback Simple)</t>
  </si>
  <si>
    <t>Flujo de Caja Descontado [FCLO / (1 + TIO)^t]</t>
  </si>
  <si>
    <t>Flujo Descontado Acumulado (Payback Descontado)</t>
  </si>
  <si>
    <t>MATRIZ CONSOLIDADA DE DECISIÓN FINANCIERA Y DASHBOARD EJECUTIVO</t>
  </si>
  <si>
    <t>Evaluación de Indicadores de Rentabilidad (VPN, TIR, Payback, ROI) | Celda Robotizada 3 en 1 (8°C)</t>
  </si>
  <si>
    <t>1. MATRIZ CONSOLIDADA DE INDICADORES Y DICTAMEN DE VIABILIDAD FINANCIERA</t>
  </si>
  <si>
    <t>Parámetro / Indicador Financiero</t>
  </si>
  <si>
    <t>Valor Proyectado</t>
  </si>
  <si>
    <t>Criterio de Decisión</t>
  </si>
  <si>
    <t>Dictamen Financiero</t>
  </si>
  <si>
    <t>Estado</t>
  </si>
  <si>
    <t>Inversión Inicial Total (CAPEX - I0)</t>
  </si>
  <si>
    <t>Presupuesto integral</t>
  </si>
  <si>
    <t>APROBADO</t>
  </si>
  <si>
    <t>Inversión Inicial en Moneda Extranjera</t>
  </si>
  <si>
    <t>Tasa: $4.124,50 COP/USD</t>
  </si>
  <si>
    <t>Equipamiento importado y nacionalizado</t>
  </si>
  <si>
    <t>Costo Operativo Anual (OPEX Celda)</t>
  </si>
  <si>
    <t>COP/año</t>
  </si>
  <si>
    <t>Sostenibilidad de planta</t>
  </si>
  <si>
    <t>ÓPTIMO</t>
  </si>
  <si>
    <t>Ahorro Bruto Anual Estimado</t>
  </si>
  <si>
    <t>Alto impacto operativo</t>
  </si>
  <si>
    <t>ALTO IMPACTO</t>
  </si>
  <si>
    <t>Margen Operativo Bruto (EBITDA Anual)</t>
  </si>
  <si>
    <t>Margen &gt; 80% sobre ahorro</t>
  </si>
  <si>
    <t>ROBUSTO</t>
  </si>
  <si>
    <t>Flujo de Caja Libre Operativo (Años 1 a 4)</t>
  </si>
  <si>
    <t>Flujo neto post-impuestos</t>
  </si>
  <si>
    <t>Incluye escudo fiscal por depreciación lineal</t>
  </si>
  <si>
    <t>POSITIVO</t>
  </si>
  <si>
    <t>Flujo de Caja Libre Operativo (Año 5 + Salvamento)</t>
  </si>
  <si>
    <t>Liquidación residual</t>
  </si>
  <si>
    <t>Incluye recuperación de $40.000.000 de salvamento</t>
  </si>
  <si>
    <t>Referencia sectorial</t>
  </si>
  <si>
    <t>Costo de oportunidad ajustado al perfil de riesgo</t>
  </si>
  <si>
    <t>BASE</t>
  </si>
  <si>
    <t>Suma de Flujos de Caja Descontados (Años 1-5)</t>
  </si>
  <si>
    <t>VP de flujos &gt; I0</t>
  </si>
  <si>
    <t>Valor presente bruto generado por la operación</t>
  </si>
  <si>
    <t>SUPERÁVIT</t>
  </si>
  <si>
    <t>Valor Presente Neto (VPN)</t>
  </si>
  <si>
    <t>VPN &gt; $0 COP</t>
  </si>
  <si>
    <t>Viable: Agrega valor neto al patrimonio de la empresa</t>
  </si>
  <si>
    <t>VIABLE</t>
  </si>
  <si>
    <t>Tasa Interna de Retorno (TIR)</t>
  </si>
  <si>
    <t>TIR &gt; TIO (13,50%)</t>
  </si>
  <si>
    <t>RENTABLE</t>
  </si>
  <si>
    <t>Margen de Seguridad Financiera (Spread TIR - TIO)</t>
  </si>
  <si>
    <t>Spread &gt; 5,00%</t>
  </si>
  <si>
    <t>HOLGADO</t>
  </si>
  <si>
    <t>Período de Recuperación Nominal (Payback Simple)</t>
  </si>
  <si>
    <t>CUMPLE</t>
  </si>
  <si>
    <t>Período de Recuperación Real (Payback Descontado)</t>
  </si>
  <si>
    <t>Retorno sobre la Inversión Anual (ROI Anual)</t>
  </si>
  <si>
    <t>% / año</t>
  </si>
  <si>
    <t>&gt; 25,0% anual</t>
  </si>
  <si>
    <t>Retorno operativo anual medio sobre capital invertido</t>
  </si>
  <si>
    <t>Retorno sobre la Inversión Acumulado (ROI 5 Años)</t>
  </si>
  <si>
    <t>% (5 años)</t>
  </si>
  <si>
    <t>&gt; 50,0% acumulado</t>
  </si>
  <si>
    <t>El proyecto retorna casi la totalidad de su capital neto</t>
  </si>
  <si>
    <t>EXCELENTE</t>
  </si>
  <si>
    <t>4.6</t>
  </si>
  <si>
    <t>Sueldo Ingenieros</t>
  </si>
  <si>
    <t>Recuperación de 13 g/bloque al controlar tolerancia a ±1 g con Checkweigher</t>
  </si>
  <si>
    <t>Régimen operativo de planta (4 días/semana)</t>
  </si>
  <si>
    <t>Bloques de queso empacados al vacío por turno</t>
  </si>
  <si>
    <t xml:space="preserve">Ajuste de cabezales a ±1 g recuperando 13 g/unidad en 1911 bloques/día </t>
  </si>
  <si>
    <t>Impulsado en 30,61% por recuperación metrológica (giveaway) y 29,57% por MOD</t>
  </si>
  <si>
    <t xml:space="preserve">Ahorro de salarios  de 2 operarios de estiba en cuarto frío </t>
  </si>
  <si>
    <t>69,31% Activos y Calidad / 30,69% Integración</t>
  </si>
  <si>
    <t>Representa solo el 12,24% del ahorro bruto anual</t>
  </si>
  <si>
    <t>Impulsado en 30,61% por giveaway y 29,57% por nómina</t>
  </si>
  <si>
    <t>Generación operativa neta del 87,66%</t>
  </si>
  <si>
    <t>Rentable: Rentabilidad robusta con +5,32% sobre la TIO</t>
  </si>
  <si>
    <t>Tolera sobrecostos o alzas de tasas de hasta 5,32 pp</t>
  </si>
  <si>
    <t>Salario para los 6 ingenieros asociados al proyecto</t>
  </si>
  <si>
    <t>Salario de 3500000</t>
  </si>
  <si>
    <t>&lt; 3,5 años</t>
  </si>
  <si>
    <t>&lt; 4,5 años</t>
  </si>
  <si>
    <t xml:space="preserve">Recuperación nominal en 3 años y 2 meses </t>
  </si>
  <si>
    <t>Recuperación real en 4 años y 4 meses (dentro de vida fiscal)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</si>
</sst>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0.000"/>
    <numFmt numFmtId="166" formatCode="\$#,##0.00;\(\$#,##0.00\);&quot;-&quot;"/>
    <numFmt numFmtId="167" formatCode="0.00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E0E0E0"/>
      <name val="Calibri"/>
    </font>
    <font>
      <b/>
      <sz val="11"/>
      <color rgb="FFFFFFFF"/>
      <name val="Calibri"/>
    </font>
    <font>
      <b/>
      <sz val="11"/>
      <color rgb="FF1E3A5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b/>
      <sz val="10"/>
      <color rgb="FF15572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2E5B88"/>
        <bgColor rgb="FF2E5B88"/>
      </patternFill>
    </fill>
    <fill>
      <patternFill patternType="solid">
        <fgColor rgb="FFE2EBF3"/>
        <bgColor rgb="FFE2EBF3"/>
      </patternFill>
    </fill>
    <fill>
      <patternFill patternType="solid">
        <fgColor rgb="FFFFF9E6"/>
        <bgColor rgb="FFFFF9E6"/>
      </patternFill>
    </fill>
    <fill>
      <patternFill patternType="solid">
        <fgColor rgb="FFF4F7FA"/>
        <bgColor rgb="FFF4F7FA"/>
      </patternFill>
    </fill>
    <fill>
      <patternFill patternType="solid">
        <fgColor rgb="FF008080"/>
        <bgColor rgb="FF008080"/>
      </patternFill>
    </fill>
    <fill>
      <patternFill patternType="solid">
        <fgColor rgb="FFD4EDDA"/>
        <bgColor rgb="FFD4EDDA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medium">
        <color rgb="FF1E3A5F"/>
      </top>
      <bottom style="medium">
        <color rgb="FF1E3A5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double">
        <color rgb="FF1E3A5F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4" fontId="5" fillId="5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10" fontId="5" fillId="5" borderId="2" xfId="0" applyNumberFormat="1" applyFont="1" applyFill="1" applyBorder="1" applyAlignment="1">
      <alignment horizontal="right" vertical="center" wrapText="1"/>
    </xf>
    <xf numFmtId="164" fontId="5" fillId="5" borderId="2" xfId="0" applyNumberFormat="1" applyFont="1" applyFill="1" applyBorder="1" applyAlignment="1">
      <alignment horizontal="right" vertical="center" wrapText="1"/>
    </xf>
    <xf numFmtId="3" fontId="6" fillId="4" borderId="2" xfId="0" applyNumberFormat="1" applyFont="1" applyFill="1" applyBorder="1" applyAlignment="1">
      <alignment horizontal="right" vertical="center" wrapText="1"/>
    </xf>
    <xf numFmtId="4" fontId="6" fillId="4" borderId="2" xfId="0" applyNumberFormat="1" applyFont="1" applyFill="1" applyBorder="1" applyAlignment="1">
      <alignment horizontal="right" vertical="center" wrapText="1"/>
    </xf>
    <xf numFmtId="165" fontId="5" fillId="5" borderId="2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0" fontId="6" fillId="4" borderId="1" xfId="0" applyFont="1" applyFill="1" applyBorder="1"/>
    <xf numFmtId="166" fontId="6" fillId="4" borderId="1" xfId="0" applyNumberFormat="1" applyFont="1" applyFill="1" applyBorder="1" applyAlignment="1">
      <alignment horizontal="righ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10" fontId="6" fillId="4" borderId="1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166" fontId="4" fillId="4" borderId="3" xfId="0" applyNumberFormat="1" applyFont="1" applyFill="1" applyBorder="1" applyAlignment="1">
      <alignment horizontal="right" vertical="center" wrapText="1"/>
    </xf>
    <xf numFmtId="164" fontId="4" fillId="4" borderId="3" xfId="0" applyNumberFormat="1" applyFont="1" applyFill="1" applyBorder="1" applyAlignment="1">
      <alignment horizontal="right" vertical="center" wrapText="1"/>
    </xf>
    <xf numFmtId="10" fontId="4" fillId="4" borderId="3" xfId="0" applyNumberFormat="1" applyFont="1" applyFill="1" applyBorder="1" applyAlignment="1">
      <alignment horizontal="right" vertical="center" wrapText="1"/>
    </xf>
    <xf numFmtId="0" fontId="4" fillId="0" borderId="0" xfId="0" applyFont="1"/>
    <xf numFmtId="166" fontId="5" fillId="0" borderId="2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6" borderId="2" xfId="0" applyNumberFormat="1" applyFont="1" applyFill="1" applyBorder="1" applyAlignment="1">
      <alignment horizontal="right" vertical="center" wrapText="1"/>
    </xf>
    <xf numFmtId="10" fontId="6" fillId="6" borderId="2" xfId="0" applyNumberFormat="1" applyFont="1" applyFill="1" applyBorder="1" applyAlignment="1">
      <alignment horizontal="right" vertical="center" wrapText="1"/>
    </xf>
    <xf numFmtId="164" fontId="8" fillId="8" borderId="3" xfId="0" applyNumberFormat="1" applyFont="1" applyFill="1" applyBorder="1" applyAlignment="1">
      <alignment horizontal="right" vertical="center" wrapText="1"/>
    </xf>
    <xf numFmtId="10" fontId="8" fillId="8" borderId="3" xfId="0" applyNumberFormat="1" applyFont="1" applyFill="1" applyBorder="1" applyAlignment="1">
      <alignment horizontal="right" vertical="center" wrapText="1"/>
    </xf>
    <xf numFmtId="0" fontId="6" fillId="0" borderId="2" xfId="0" applyFont="1" applyBorder="1"/>
    <xf numFmtId="164" fontId="5" fillId="4" borderId="2" xfId="0" applyNumberFormat="1" applyFont="1" applyFill="1" applyBorder="1" applyAlignment="1">
      <alignment horizontal="right" vertical="center" wrapText="1"/>
    </xf>
    <xf numFmtId="10" fontId="5" fillId="4" borderId="2" xfId="0" applyNumberFormat="1" applyFont="1" applyFill="1" applyBorder="1" applyAlignment="1">
      <alignment horizontal="right" vertical="center" wrapText="1"/>
    </xf>
    <xf numFmtId="3" fontId="5" fillId="4" borderId="2" xfId="0" applyNumberFormat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right" vertical="center" wrapText="1"/>
    </xf>
    <xf numFmtId="0" fontId="4" fillId="8" borderId="3" xfId="0" applyFont="1" applyFill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righ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66" fontId="6" fillId="6" borderId="2" xfId="0" applyNumberFormat="1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0" fontId="6" fillId="4" borderId="2" xfId="0" applyNumberFormat="1" applyFont="1" applyFill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/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/>
    <xf numFmtId="0" fontId="7" fillId="3" borderId="0" xfId="0" applyFont="1" applyFill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/>
    <xf numFmtId="0" fontId="7" fillId="7" borderId="0" xfId="0" applyFont="1" applyFill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Evolución del Flujo de Caja Libre (FCLO) y Payback Descontado (COP)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'4_Flujo_de_Caja_y_VPN'!$A$20</c:f>
              <c:strCache>
                <c:ptCount val="1"/>
                <c:pt idx="0">
                  <c:v>Flujo de Caja Libre Operativo (FCLO)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'4_Flujo_de_Caja_y_VPN'!$B$9:$G$9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'4_Flujo_de_Caja_y_VPN'!$B$20:$G$20</c:f>
              <c:numCache>
                <c:formatCode>\$#,##0;\(\$#,##0\);"-"</c:formatCode>
                <c:ptCount val="6"/>
                <c:pt idx="0">
                  <c:v>-492190530.5</c:v>
                </c:pt>
                <c:pt idx="1">
                  <c:v>154805231.13499999</c:v>
                </c:pt>
                <c:pt idx="2">
                  <c:v>154805231.13499999</c:v>
                </c:pt>
                <c:pt idx="3">
                  <c:v>154805231.13499999</c:v>
                </c:pt>
                <c:pt idx="4">
                  <c:v>154805231.13499999</c:v>
                </c:pt>
                <c:pt idx="5">
                  <c:v>194805231.13499999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6-4BEB-BE17-A320B5285E13}"/>
            </c:ext>
          </c:extLst>
        </c:ser>
        <c:ser>
          <c:idx val="1"/>
          <c:order val="1"/>
          <c:tx>
            <c:strRef>
              <c:f>'4_Flujo_de_Caja_y_VPN'!$A$28</c:f>
              <c:strCache>
                <c:ptCount val="1"/>
                <c:pt idx="0">
                  <c:v>Flujo Descontado Acumulado (Payback Descontado)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'4_Flujo_de_Caja_y_VPN'!$B$9:$G$9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'4_Flujo_de_Caja_y_VPN'!$B$28:$G$28</c:f>
              <c:numCache>
                <c:formatCode>\$#,##0;\(\$#,##0\);"-"</c:formatCode>
                <c:ptCount val="6"/>
                <c:pt idx="0">
                  <c:v>-492190530.5</c:v>
                </c:pt>
                <c:pt idx="1">
                  <c:v>-355798256.37224674</c:v>
                </c:pt>
                <c:pt idx="2">
                  <c:v>-235628851.85440242</c:v>
                </c:pt>
                <c:pt idx="3">
                  <c:v>-129752724.52590522</c:v>
                </c:pt>
                <c:pt idx="4">
                  <c:v>-36469792.958947346</c:v>
                </c:pt>
                <c:pt idx="5">
                  <c:v>66954201.518029213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6-4BEB-BE17-A320B528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Horizonte de Evaluación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Pesos Colombianos (COP)</a:t>
                </a:r>
              </a:p>
            </c:rich>
          </c:tx>
          <c:overlay val="0"/>
        </c:title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Composición de Beneficios y Ahorros Anuales ($263,4M COP)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'3_OPEX_y_Beneficios'!$E$16</c:f>
              <c:strCache>
                <c:ptCount val="1"/>
                <c:pt idx="0">
                  <c:v>Ahorro Anual (COP)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'3_OPEX_y_Beneficios'!$B$17:$B$21</c:f>
              <c:strCache>
                <c:ptCount val="5"/>
                <c:pt idx="0">
                  <c:v>Mitigación de Sobrepeso (Giveaway - Báscula Dinámica)</c:v>
                </c:pt>
                <c:pt idx="1">
                  <c:v>Supresión de Pérdidas por Fugas de Vacío y Marcaje (Visión)</c:v>
                </c:pt>
                <c:pt idx="2">
                  <c:v>Optimización de Mano de Obra Directa (MOD) en Frío</c:v>
                </c:pt>
                <c:pt idx="3">
                  <c:v>Reducción de Mermas por Desplome y Aplastamiento</c:v>
                </c:pt>
                <c:pt idx="4">
                  <c:v>Disminución de Costos Ocultos por Incapacidades (ARL)</c:v>
                </c:pt>
              </c:strCache>
            </c:strRef>
          </c:cat>
          <c:val>
            <c:numRef>
              <c:f>'3_OPEX_y_Beneficios'!$E$17:$E$21</c:f>
              <c:numCache>
                <c:formatCode>\$#,##0;\(\$#,##0\);"-"</c:formatCode>
                <c:ptCount val="5"/>
                <c:pt idx="0">
                  <c:v>64591800</c:v>
                </c:pt>
                <c:pt idx="1">
                  <c:v>24000000</c:v>
                </c:pt>
                <c:pt idx="2">
                  <c:v>62400000</c:v>
                </c:pt>
                <c:pt idx="3">
                  <c:v>45000000</c:v>
                </c:pt>
                <c:pt idx="4">
                  <c:v>15000000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7-43C6-A0BD-DE857F0B6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Ahorro Anual (COP)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\$#,##0;\(\$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904875</xdr:colOff>
      <xdr:row>23</xdr:row>
      <xdr:rowOff>28575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pane ySplit="4" topLeftCell="A5" activePane="bottomLeft" state="frozen"/>
      <selection pane="bottomLeft" activeCell="D23" sqref="D23"/>
    </sheetView>
  </sheetViews>
  <sheetFormatPr baseColWidth="10" defaultColWidth="9.140625" defaultRowHeight="15" x14ac:dyDescent="0.25"/>
  <cols>
    <col min="1" max="1" width="46" customWidth="1"/>
    <col min="2" max="2" width="18" customWidth="1"/>
    <col min="3" max="3" width="16" customWidth="1"/>
    <col min="4" max="4" width="62" customWidth="1"/>
  </cols>
  <sheetData>
    <row r="1" spans="1:4" ht="27.95" customHeight="1" x14ac:dyDescent="0.25">
      <c r="A1" s="48" t="s">
        <v>0</v>
      </c>
      <c r="B1" s="49"/>
      <c r="C1" s="49"/>
      <c r="D1" s="49"/>
    </row>
    <row r="2" spans="1:4" ht="18" customHeight="1" x14ac:dyDescent="0.25">
      <c r="A2" s="51" t="s">
        <v>1</v>
      </c>
      <c r="B2" s="49"/>
      <c r="C2" s="49"/>
      <c r="D2" s="49"/>
    </row>
    <row r="4" spans="1:4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20.100000000000001" customHeight="1" x14ac:dyDescent="0.25">
      <c r="A5" s="50" t="s">
        <v>6</v>
      </c>
      <c r="B5" s="49"/>
      <c r="C5" s="49"/>
      <c r="D5" s="49"/>
    </row>
    <row r="6" spans="1:4" ht="20.100000000000001" customHeight="1" x14ac:dyDescent="0.25">
      <c r="A6" s="2" t="s">
        <v>7</v>
      </c>
      <c r="B6" s="3">
        <v>3192.73</v>
      </c>
      <c r="C6" s="4" t="s">
        <v>8</v>
      </c>
      <c r="D6" s="2" t="s">
        <v>9</v>
      </c>
    </row>
    <row r="7" spans="1:4" ht="20.100000000000001" customHeight="1" x14ac:dyDescent="0.25">
      <c r="A7" s="2" t="s">
        <v>10</v>
      </c>
      <c r="B7" s="5">
        <v>5</v>
      </c>
      <c r="C7" s="4" t="s">
        <v>11</v>
      </c>
      <c r="D7" s="2" t="s">
        <v>12</v>
      </c>
    </row>
    <row r="8" spans="1:4" ht="20.100000000000001" customHeight="1" x14ac:dyDescent="0.25">
      <c r="A8" s="2" t="s">
        <v>13</v>
      </c>
      <c r="B8" s="6">
        <v>0.13500000000000001</v>
      </c>
      <c r="C8" s="4" t="s">
        <v>14</v>
      </c>
      <c r="D8" s="2" t="s">
        <v>15</v>
      </c>
    </row>
    <row r="9" spans="1:4" ht="20.100000000000001" customHeight="1" x14ac:dyDescent="0.25">
      <c r="A9" s="2" t="s">
        <v>16</v>
      </c>
      <c r="B9" s="6">
        <v>0.35</v>
      </c>
      <c r="C9" s="4" t="s">
        <v>17</v>
      </c>
      <c r="D9" s="2" t="s">
        <v>18</v>
      </c>
    </row>
    <row r="10" spans="1:4" ht="20.100000000000001" customHeight="1" x14ac:dyDescent="0.25">
      <c r="A10" s="2" t="s">
        <v>19</v>
      </c>
      <c r="B10" s="5">
        <v>5</v>
      </c>
      <c r="C10" s="4" t="s">
        <v>11</v>
      </c>
      <c r="D10" s="2" t="s">
        <v>20</v>
      </c>
    </row>
    <row r="11" spans="1:4" ht="20.100000000000001" customHeight="1" x14ac:dyDescent="0.25">
      <c r="A11" s="2" t="s">
        <v>21</v>
      </c>
      <c r="B11" s="7">
        <v>40000000</v>
      </c>
      <c r="C11" s="4" t="s">
        <v>22</v>
      </c>
      <c r="D11" s="2" t="s">
        <v>23</v>
      </c>
    </row>
    <row r="12" spans="1:4" ht="20.100000000000001" customHeight="1" x14ac:dyDescent="0.25">
      <c r="A12" s="50" t="s">
        <v>24</v>
      </c>
      <c r="B12" s="49"/>
      <c r="C12" s="49"/>
      <c r="D12" s="49"/>
    </row>
    <row r="13" spans="1:4" ht="20.100000000000001" customHeight="1" x14ac:dyDescent="0.25">
      <c r="A13" s="2" t="s">
        <v>25</v>
      </c>
      <c r="B13" s="5">
        <f>52*4</f>
        <v>208</v>
      </c>
      <c r="C13" s="4" t="s">
        <v>26</v>
      </c>
      <c r="D13" s="2" t="s">
        <v>331</v>
      </c>
    </row>
    <row r="14" spans="1:4" ht="20.100000000000001" customHeight="1" x14ac:dyDescent="0.25">
      <c r="A14" s="2" t="s">
        <v>27</v>
      </c>
      <c r="B14" s="5">
        <v>8</v>
      </c>
      <c r="C14" s="4" t="s">
        <v>28</v>
      </c>
      <c r="D14" s="2" t="s">
        <v>29</v>
      </c>
    </row>
    <row r="15" spans="1:4" ht="20.100000000000001" customHeight="1" x14ac:dyDescent="0.25">
      <c r="A15" s="2" t="s">
        <v>30</v>
      </c>
      <c r="B15" s="8">
        <f>B13*B14</f>
        <v>1664</v>
      </c>
      <c r="C15" s="4" t="s">
        <v>31</v>
      </c>
      <c r="D15" s="2" t="s">
        <v>32</v>
      </c>
    </row>
    <row r="16" spans="1:4" ht="20.100000000000001" customHeight="1" x14ac:dyDescent="0.25">
      <c r="A16" s="2" t="s">
        <v>33</v>
      </c>
      <c r="B16" s="3">
        <v>1.8</v>
      </c>
      <c r="C16" s="4" t="s">
        <v>34</v>
      </c>
      <c r="D16" s="2" t="s">
        <v>35</v>
      </c>
    </row>
    <row r="17" spans="1:4" ht="20.100000000000001" customHeight="1" x14ac:dyDescent="0.25">
      <c r="A17" s="2" t="s">
        <v>36</v>
      </c>
      <c r="B17" s="3">
        <v>3.2</v>
      </c>
      <c r="C17" s="4" t="s">
        <v>34</v>
      </c>
      <c r="D17" s="2" t="s">
        <v>37</v>
      </c>
    </row>
    <row r="18" spans="1:4" ht="20.100000000000001" customHeight="1" x14ac:dyDescent="0.25">
      <c r="A18" s="2" t="s">
        <v>38</v>
      </c>
      <c r="B18" s="3">
        <v>0.8</v>
      </c>
      <c r="C18" s="4" t="s">
        <v>34</v>
      </c>
      <c r="D18" s="2" t="s">
        <v>39</v>
      </c>
    </row>
    <row r="19" spans="1:4" ht="20.100000000000001" customHeight="1" x14ac:dyDescent="0.25">
      <c r="A19" s="2" t="s">
        <v>40</v>
      </c>
      <c r="B19" s="3">
        <v>0.8</v>
      </c>
      <c r="C19" s="4" t="s">
        <v>34</v>
      </c>
      <c r="D19" s="2" t="s">
        <v>41</v>
      </c>
    </row>
    <row r="20" spans="1:4" ht="20.100000000000001" customHeight="1" x14ac:dyDescent="0.25">
      <c r="A20" s="2" t="s">
        <v>42</v>
      </c>
      <c r="B20" s="9">
        <f>SUM(B16:B19)</f>
        <v>6.6</v>
      </c>
      <c r="C20" s="4" t="s">
        <v>34</v>
      </c>
      <c r="D20" s="2" t="s">
        <v>43</v>
      </c>
    </row>
    <row r="21" spans="1:4" ht="20.100000000000001" customHeight="1" x14ac:dyDescent="0.25">
      <c r="A21" s="2" t="s">
        <v>44</v>
      </c>
      <c r="B21" s="7">
        <v>850</v>
      </c>
      <c r="C21" s="4" t="s">
        <v>45</v>
      </c>
      <c r="D21" s="2" t="s">
        <v>46</v>
      </c>
    </row>
    <row r="22" spans="1:4" ht="20.100000000000001" customHeight="1" x14ac:dyDescent="0.25">
      <c r="A22" s="50" t="s">
        <v>47</v>
      </c>
      <c r="B22" s="49"/>
      <c r="C22" s="49"/>
      <c r="D22" s="49"/>
    </row>
    <row r="23" spans="1:4" ht="20.100000000000001" customHeight="1" x14ac:dyDescent="0.25">
      <c r="A23" s="2" t="s">
        <v>48</v>
      </c>
      <c r="B23" s="5">
        <v>1911</v>
      </c>
      <c r="C23" s="4" t="s">
        <v>49</v>
      </c>
      <c r="D23" s="2" t="s">
        <v>332</v>
      </c>
    </row>
    <row r="24" spans="1:4" ht="20.100000000000001" customHeight="1" x14ac:dyDescent="0.25">
      <c r="A24" s="2" t="s">
        <v>50</v>
      </c>
      <c r="B24" s="10">
        <v>1.2999999999999999E-2</v>
      </c>
      <c r="C24" s="4" t="s">
        <v>51</v>
      </c>
      <c r="D24" s="2" t="s">
        <v>330</v>
      </c>
    </row>
    <row r="25" spans="1:4" ht="20.100000000000001" customHeight="1" x14ac:dyDescent="0.25">
      <c r="A25" s="2" t="s">
        <v>52</v>
      </c>
      <c r="B25" s="8">
        <f>B23*B24</f>
        <v>24.843</v>
      </c>
      <c r="C25" s="4" t="s">
        <v>53</v>
      </c>
      <c r="D25" s="2" t="s">
        <v>54</v>
      </c>
    </row>
    <row r="26" spans="1:4" ht="20.100000000000001" customHeight="1" x14ac:dyDescent="0.25">
      <c r="A26" s="2" t="s">
        <v>55</v>
      </c>
      <c r="B26" s="7">
        <v>12500</v>
      </c>
      <c r="C26" s="4" t="s">
        <v>56</v>
      </c>
      <c r="D26" s="2" t="s">
        <v>57</v>
      </c>
    </row>
    <row r="27" spans="1:4" ht="20.100000000000001" customHeight="1" x14ac:dyDescent="0.25">
      <c r="A27" s="2" t="s">
        <v>58</v>
      </c>
      <c r="B27" s="5">
        <v>2</v>
      </c>
      <c r="C27" s="4" t="s">
        <v>59</v>
      </c>
      <c r="D27" s="2" t="s">
        <v>60</v>
      </c>
    </row>
    <row r="28" spans="1:4" ht="20.100000000000001" customHeight="1" x14ac:dyDescent="0.25">
      <c r="A28" s="2" t="s">
        <v>61</v>
      </c>
      <c r="B28" s="7">
        <v>2600000</v>
      </c>
      <c r="C28" s="4" t="s">
        <v>62</v>
      </c>
      <c r="D28" s="2" t="s">
        <v>63</v>
      </c>
    </row>
    <row r="29" spans="1:4" ht="20.100000000000001" customHeight="1" x14ac:dyDescent="0.25">
      <c r="A29" s="2" t="s">
        <v>64</v>
      </c>
      <c r="B29" s="5">
        <v>12</v>
      </c>
      <c r="C29" s="4" t="s">
        <v>65</v>
      </c>
      <c r="D29" s="2" t="s">
        <v>66</v>
      </c>
    </row>
  </sheetData>
  <mergeCells count="5">
    <mergeCell ref="A1:D1"/>
    <mergeCell ref="A5:D5"/>
    <mergeCell ref="A22:D22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zoomScale="85" zoomScaleNormal="85" workbookViewId="0">
      <pane ySplit="4" topLeftCell="A29" activePane="bottomLeft" state="frozen"/>
      <selection pane="bottomLeft" activeCell="C36" sqref="C36:F40"/>
    </sheetView>
  </sheetViews>
  <sheetFormatPr baseColWidth="10" defaultColWidth="9.140625" defaultRowHeight="15" x14ac:dyDescent="0.25"/>
  <cols>
    <col min="1" max="1" width="10" customWidth="1"/>
    <col min="2" max="2" width="36" customWidth="1"/>
    <col min="3" max="3" width="32" customWidth="1"/>
    <col min="4" max="4" width="58" hidden="1" customWidth="1"/>
    <col min="5" max="5" width="16" customWidth="1"/>
    <col min="6" max="6" width="20" customWidth="1"/>
    <col min="7" max="7" width="16" customWidth="1"/>
  </cols>
  <sheetData>
    <row r="1" spans="1:7" ht="27.95" customHeight="1" x14ac:dyDescent="0.25">
      <c r="A1" s="48" t="s">
        <v>67</v>
      </c>
      <c r="B1" s="49"/>
      <c r="C1" s="49"/>
      <c r="D1" s="49"/>
      <c r="E1" s="49"/>
      <c r="F1" s="49"/>
      <c r="G1" s="49"/>
    </row>
    <row r="2" spans="1:7" ht="18" customHeight="1" x14ac:dyDescent="0.25">
      <c r="A2" s="51" t="s">
        <v>68</v>
      </c>
      <c r="B2" s="49"/>
      <c r="C2" s="49"/>
      <c r="D2" s="49"/>
      <c r="E2" s="49"/>
      <c r="F2" s="49"/>
      <c r="G2" s="49"/>
    </row>
    <row r="4" spans="1:7" ht="24" customHeight="1" x14ac:dyDescent="0.2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</row>
    <row r="5" spans="1:7" ht="21" customHeight="1" x14ac:dyDescent="0.25">
      <c r="A5" s="11" t="s">
        <v>76</v>
      </c>
      <c r="B5" s="52" t="s">
        <v>77</v>
      </c>
      <c r="C5" s="53"/>
      <c r="D5" s="53"/>
      <c r="E5" s="53"/>
      <c r="F5" s="53"/>
      <c r="G5" s="53"/>
    </row>
    <row r="6" spans="1:7" ht="21" customHeight="1" x14ac:dyDescent="0.25">
      <c r="A6" s="4" t="s">
        <v>78</v>
      </c>
      <c r="B6" s="2" t="s">
        <v>79</v>
      </c>
      <c r="C6" s="2" t="s">
        <v>80</v>
      </c>
      <c r="D6" s="2" t="s">
        <v>81</v>
      </c>
      <c r="E6" s="12">
        <v>39500</v>
      </c>
      <c r="F6" s="13">
        <f>E6*'1_Parametros_y_Supuestos'!$B$6</f>
        <v>126112835</v>
      </c>
      <c r="G6" s="14">
        <f t="shared" ref="G6:G17" si="0">F6/$F$33</f>
        <v>0.25622767441682831</v>
      </c>
    </row>
    <row r="7" spans="1:7" ht="21" customHeight="1" x14ac:dyDescent="0.25">
      <c r="A7" s="4" t="s">
        <v>82</v>
      </c>
      <c r="B7" s="2" t="s">
        <v>83</v>
      </c>
      <c r="C7" s="2" t="s">
        <v>84</v>
      </c>
      <c r="D7" s="2" t="s">
        <v>85</v>
      </c>
      <c r="E7" s="12">
        <v>8000</v>
      </c>
      <c r="F7" s="13">
        <f>E7*'1_Parametros_y_Supuestos'!$B$6</f>
        <v>25541840</v>
      </c>
      <c r="G7" s="14">
        <f t="shared" si="0"/>
        <v>5.1894212540117127E-2</v>
      </c>
    </row>
    <row r="8" spans="1:7" ht="21" customHeight="1" x14ac:dyDescent="0.25">
      <c r="A8" s="4" t="s">
        <v>86</v>
      </c>
      <c r="B8" s="2" t="s">
        <v>87</v>
      </c>
      <c r="C8" s="2" t="s">
        <v>88</v>
      </c>
      <c r="D8" s="2" t="s">
        <v>89</v>
      </c>
      <c r="E8" s="12">
        <v>3200</v>
      </c>
      <c r="F8" s="13">
        <f>E8*'1_Parametros_y_Supuestos'!$B$6</f>
        <v>10216736</v>
      </c>
      <c r="G8" s="14">
        <f t="shared" si="0"/>
        <v>2.0757685016046849E-2</v>
      </c>
    </row>
    <row r="9" spans="1:7" ht="21" customHeight="1" x14ac:dyDescent="0.25">
      <c r="A9" s="4" t="s">
        <v>90</v>
      </c>
      <c r="B9" s="2" t="s">
        <v>91</v>
      </c>
      <c r="C9" s="2" t="s">
        <v>92</v>
      </c>
      <c r="D9" s="2" t="s">
        <v>93</v>
      </c>
      <c r="E9" s="12">
        <v>1800</v>
      </c>
      <c r="F9" s="13">
        <f>E9*'1_Parametros_y_Supuestos'!$B$6</f>
        <v>5746914</v>
      </c>
      <c r="G9" s="14">
        <f t="shared" si="0"/>
        <v>1.1676197821526353E-2</v>
      </c>
    </row>
    <row r="10" spans="1:7" ht="21" customHeight="1" x14ac:dyDescent="0.25">
      <c r="A10" s="4" t="s">
        <v>94</v>
      </c>
      <c r="B10" s="2" t="s">
        <v>95</v>
      </c>
      <c r="C10" s="2" t="s">
        <v>96</v>
      </c>
      <c r="D10" s="2" t="s">
        <v>97</v>
      </c>
      <c r="E10" s="12">
        <v>5800</v>
      </c>
      <c r="F10" s="13">
        <f>E10*'1_Parametros_y_Supuestos'!$B$6</f>
        <v>18517834</v>
      </c>
      <c r="G10" s="14">
        <f t="shared" si="0"/>
        <v>3.7623304091584917E-2</v>
      </c>
    </row>
    <row r="11" spans="1:7" ht="21" customHeight="1" x14ac:dyDescent="0.25">
      <c r="A11" s="4" t="s">
        <v>98</v>
      </c>
      <c r="B11" s="2" t="s">
        <v>99</v>
      </c>
      <c r="C11" s="2" t="s">
        <v>100</v>
      </c>
      <c r="D11" s="2" t="s">
        <v>101</v>
      </c>
      <c r="E11" s="12">
        <v>450</v>
      </c>
      <c r="F11" s="13">
        <f>E11*'1_Parametros_y_Supuestos'!$B$6</f>
        <v>1436728.5</v>
      </c>
      <c r="G11" s="14">
        <f t="shared" si="0"/>
        <v>2.9190494553815883E-3</v>
      </c>
    </row>
    <row r="12" spans="1:7" ht="21" customHeight="1" x14ac:dyDescent="0.25">
      <c r="A12" s="4" t="s">
        <v>102</v>
      </c>
      <c r="B12" s="2" t="s">
        <v>103</v>
      </c>
      <c r="C12" s="2" t="s">
        <v>104</v>
      </c>
      <c r="D12" s="2" t="s">
        <v>105</v>
      </c>
      <c r="E12" s="12">
        <v>8200</v>
      </c>
      <c r="F12" s="13">
        <f>E12*'1_Parametros_y_Supuestos'!$B$6</f>
        <v>26180386</v>
      </c>
      <c r="G12" s="14">
        <f t="shared" si="0"/>
        <v>5.3191567853620052E-2</v>
      </c>
    </row>
    <row r="13" spans="1:7" ht="21" customHeight="1" x14ac:dyDescent="0.25">
      <c r="A13" s="4" t="s">
        <v>106</v>
      </c>
      <c r="B13" s="2" t="s">
        <v>107</v>
      </c>
      <c r="C13" s="2" t="s">
        <v>108</v>
      </c>
      <c r="D13" s="2" t="s">
        <v>109</v>
      </c>
      <c r="E13" s="12">
        <v>2050</v>
      </c>
      <c r="F13" s="13">
        <f>E13*'1_Parametros_y_Supuestos'!$B$6</f>
        <v>6545096.5</v>
      </c>
      <c r="G13" s="14">
        <f t="shared" si="0"/>
        <v>1.3297891963405013E-2</v>
      </c>
    </row>
    <row r="14" spans="1:7" ht="26.25" customHeight="1" x14ac:dyDescent="0.25">
      <c r="A14" s="4" t="s">
        <v>110</v>
      </c>
      <c r="B14" s="2" t="s">
        <v>111</v>
      </c>
      <c r="C14" s="2" t="s">
        <v>112</v>
      </c>
      <c r="D14" s="2" t="s">
        <v>113</v>
      </c>
      <c r="E14" s="12">
        <v>6700</v>
      </c>
      <c r="F14" s="13">
        <f>E14*'1_Parametros_y_Supuestos'!$B$6</f>
        <v>21391291</v>
      </c>
      <c r="G14" s="14">
        <f t="shared" si="0"/>
        <v>4.346140300234809E-2</v>
      </c>
    </row>
    <row r="15" spans="1:7" ht="27" customHeight="1" x14ac:dyDescent="0.25">
      <c r="A15" s="4" t="s">
        <v>114</v>
      </c>
      <c r="B15" s="2" t="s">
        <v>115</v>
      </c>
      <c r="C15" s="2" t="s">
        <v>116</v>
      </c>
      <c r="D15" s="2" t="s">
        <v>117</v>
      </c>
      <c r="E15" s="12">
        <v>7550</v>
      </c>
      <c r="F15" s="13">
        <f>E15*'1_Parametros_y_Supuestos'!$B$6</f>
        <v>24105111.5</v>
      </c>
      <c r="G15" s="14">
        <f t="shared" si="0"/>
        <v>4.8975163084735533E-2</v>
      </c>
    </row>
    <row r="16" spans="1:7" ht="28.5" customHeight="1" x14ac:dyDescent="0.25">
      <c r="A16" s="4" t="s">
        <v>118</v>
      </c>
      <c r="B16" s="2" t="s">
        <v>119</v>
      </c>
      <c r="C16" s="2" t="s">
        <v>120</v>
      </c>
      <c r="D16" s="2" t="s">
        <v>121</v>
      </c>
      <c r="E16" s="12">
        <v>8400</v>
      </c>
      <c r="F16" s="13">
        <f>E16*'1_Parametros_y_Supuestos'!$B$6</f>
        <v>26818932</v>
      </c>
      <c r="G16" s="14">
        <f t="shared" si="0"/>
        <v>5.4488923167122984E-2</v>
      </c>
    </row>
    <row r="17" spans="1:7" ht="21" customHeight="1" x14ac:dyDescent="0.25">
      <c r="A17" s="15"/>
      <c r="B17" s="54" t="s">
        <v>122</v>
      </c>
      <c r="C17" s="55"/>
      <c r="D17" s="55"/>
      <c r="E17" s="16">
        <f>SUM(E6:E16)</f>
        <v>91650</v>
      </c>
      <c r="F17" s="17">
        <f>E17*'1_Parametros_y_Supuestos'!$B$6</f>
        <v>292613704.5</v>
      </c>
      <c r="G17" s="18">
        <f t="shared" si="0"/>
        <v>0.59451307241271678</v>
      </c>
    </row>
    <row r="18" spans="1:7" ht="21" customHeight="1" x14ac:dyDescent="0.25">
      <c r="A18" s="11" t="s">
        <v>123</v>
      </c>
      <c r="B18" s="52" t="s">
        <v>124</v>
      </c>
      <c r="C18" s="53"/>
      <c r="D18" s="53"/>
      <c r="E18" s="53"/>
      <c r="F18" s="53"/>
      <c r="G18" s="53"/>
    </row>
    <row r="19" spans="1:7" ht="21" customHeight="1" x14ac:dyDescent="0.25">
      <c r="A19" s="4" t="s">
        <v>125</v>
      </c>
      <c r="B19" s="2" t="s">
        <v>126</v>
      </c>
      <c r="C19" s="2" t="s">
        <v>127</v>
      </c>
      <c r="D19" s="2" t="s">
        <v>128</v>
      </c>
      <c r="E19" s="12">
        <v>6500</v>
      </c>
      <c r="F19" s="13">
        <f>E19*'1_Parametros_y_Supuestos'!$B$6</f>
        <v>20752745</v>
      </c>
      <c r="G19" s="14">
        <f>F19/$F$33</f>
        <v>4.2164047688845165E-2</v>
      </c>
    </row>
    <row r="20" spans="1:7" ht="21" customHeight="1" x14ac:dyDescent="0.25">
      <c r="A20" s="4" t="s">
        <v>129</v>
      </c>
      <c r="B20" s="2" t="s">
        <v>130</v>
      </c>
      <c r="C20" s="2" t="s">
        <v>131</v>
      </c>
      <c r="D20" s="2" t="s">
        <v>132</v>
      </c>
      <c r="E20" s="12">
        <v>7500</v>
      </c>
      <c r="F20" s="13">
        <f>E20*'1_Parametros_y_Supuestos'!$B$6</f>
        <v>23945475</v>
      </c>
      <c r="G20" s="14">
        <f>F20/$F$33</f>
        <v>4.8650824256359804E-2</v>
      </c>
    </row>
    <row r="21" spans="1:7" ht="21" customHeight="1" x14ac:dyDescent="0.25">
      <c r="A21" s="15"/>
      <c r="B21" s="54" t="s">
        <v>133</v>
      </c>
      <c r="C21" s="55"/>
      <c r="D21" s="55"/>
      <c r="E21" s="16">
        <f>SUM(E19:E20)</f>
        <v>14000</v>
      </c>
      <c r="F21" s="17">
        <f>E21*'1_Parametros_y_Supuestos'!$B$6</f>
        <v>44698220</v>
      </c>
      <c r="G21" s="18">
        <f>F21/$F$33</f>
        <v>9.0814871945204961E-2</v>
      </c>
    </row>
    <row r="22" spans="1:7" ht="21" customHeight="1" x14ac:dyDescent="0.25">
      <c r="A22" s="11" t="s">
        <v>134</v>
      </c>
      <c r="B22" s="52" t="s">
        <v>135</v>
      </c>
      <c r="C22" s="53"/>
      <c r="D22" s="53"/>
      <c r="E22" s="53"/>
      <c r="F22" s="53"/>
      <c r="G22" s="53"/>
    </row>
    <row r="23" spans="1:7" ht="21" customHeight="1" x14ac:dyDescent="0.25">
      <c r="A23" s="4" t="s">
        <v>136</v>
      </c>
      <c r="B23" s="2" t="s">
        <v>137</v>
      </c>
      <c r="C23" s="2" t="s">
        <v>138</v>
      </c>
      <c r="D23" s="2" t="s">
        <v>139</v>
      </c>
      <c r="E23" s="12">
        <v>1200</v>
      </c>
      <c r="F23" s="13">
        <f>E23*'1_Parametros_y_Supuestos'!$B$6</f>
        <v>3831276</v>
      </c>
      <c r="G23" s="14">
        <f>F23/$F$33</f>
        <v>7.7841318810175685E-3</v>
      </c>
    </row>
    <row r="24" spans="1:7" ht="21" customHeight="1" x14ac:dyDescent="0.25">
      <c r="A24" s="15"/>
      <c r="B24" s="54" t="s">
        <v>140</v>
      </c>
      <c r="C24" s="55"/>
      <c r="D24" s="55"/>
      <c r="E24" s="16">
        <f>SUM(E23:E23)</f>
        <v>1200</v>
      </c>
      <c r="F24" s="17">
        <f>E24*'1_Parametros_y_Supuestos'!$B$6</f>
        <v>3831276</v>
      </c>
      <c r="G24" s="18">
        <f>F24/$F$33</f>
        <v>7.7841318810175685E-3</v>
      </c>
    </row>
    <row r="25" spans="1:7" ht="21" customHeight="1" x14ac:dyDescent="0.25">
      <c r="A25" s="11" t="s">
        <v>141</v>
      </c>
      <c r="B25" s="52" t="s">
        <v>142</v>
      </c>
      <c r="C25" s="53"/>
      <c r="D25" s="53"/>
      <c r="E25" s="53"/>
      <c r="F25" s="53"/>
      <c r="G25" s="53"/>
    </row>
    <row r="26" spans="1:7" ht="21" customHeight="1" x14ac:dyDescent="0.25">
      <c r="A26" s="4" t="s">
        <v>143</v>
      </c>
      <c r="B26" s="2" t="s">
        <v>144</v>
      </c>
      <c r="C26" s="2" t="s">
        <v>145</v>
      </c>
      <c r="D26" s="2" t="s">
        <v>146</v>
      </c>
      <c r="E26" s="12">
        <v>5500</v>
      </c>
      <c r="F26" s="13">
        <f>E26*'1_Parametros_y_Supuestos'!$B$6</f>
        <v>17560015</v>
      </c>
      <c r="G26" s="14">
        <f t="shared" ref="G26:G32" si="1">F26/$F$33</f>
        <v>3.5677271121330525E-2</v>
      </c>
    </row>
    <row r="27" spans="1:7" ht="21" customHeight="1" x14ac:dyDescent="0.25">
      <c r="A27" s="4" t="s">
        <v>147</v>
      </c>
      <c r="B27" s="2" t="s">
        <v>148</v>
      </c>
      <c r="C27" s="2" t="s">
        <v>149</v>
      </c>
      <c r="D27" s="2" t="s">
        <v>150</v>
      </c>
      <c r="E27" s="12">
        <v>4000</v>
      </c>
      <c r="F27" s="13">
        <f>E27*'1_Parametros_y_Supuestos'!$B$6</f>
        <v>12770920</v>
      </c>
      <c r="G27" s="14">
        <f t="shared" si="1"/>
        <v>2.5947106270058563E-2</v>
      </c>
    </row>
    <row r="28" spans="1:7" ht="21" customHeight="1" x14ac:dyDescent="0.25">
      <c r="A28" s="4" t="s">
        <v>151</v>
      </c>
      <c r="B28" s="2" t="s">
        <v>152</v>
      </c>
      <c r="C28" s="2" t="s">
        <v>153</v>
      </c>
      <c r="D28" s="2" t="s">
        <v>154</v>
      </c>
      <c r="E28" s="12">
        <v>5500</v>
      </c>
      <c r="F28" s="13">
        <f>E28*'1_Parametros_y_Supuestos'!$B$6</f>
        <v>17560015</v>
      </c>
      <c r="G28" s="14">
        <f t="shared" si="1"/>
        <v>3.5677271121330525E-2</v>
      </c>
    </row>
    <row r="29" spans="1:7" ht="21" customHeight="1" x14ac:dyDescent="0.25">
      <c r="A29" s="4" t="s">
        <v>155</v>
      </c>
      <c r="B29" s="2" t="s">
        <v>156</v>
      </c>
      <c r="C29" s="2" t="s">
        <v>157</v>
      </c>
      <c r="D29" s="2" t="s">
        <v>158</v>
      </c>
      <c r="E29" s="12">
        <v>3500</v>
      </c>
      <c r="F29" s="13">
        <f>E29*'1_Parametros_y_Supuestos'!$B$6</f>
        <v>11174555</v>
      </c>
      <c r="G29" s="14">
        <f t="shared" si="1"/>
        <v>2.270371798630124E-2</v>
      </c>
    </row>
    <row r="30" spans="1:7" ht="21" customHeight="1" x14ac:dyDescent="0.25">
      <c r="A30" s="4" t="s">
        <v>159</v>
      </c>
      <c r="B30" s="2" t="s">
        <v>160</v>
      </c>
      <c r="C30" s="2" t="s">
        <v>161</v>
      </c>
      <c r="D30" s="2" t="s">
        <v>162</v>
      </c>
      <c r="E30" s="12">
        <v>2500</v>
      </c>
      <c r="F30" s="13">
        <f>E30*'1_Parametros_y_Supuestos'!$B$6</f>
        <v>7981825</v>
      </c>
      <c r="G30" s="14">
        <f>F30/$F$33</f>
        <v>1.6216941418786601E-2</v>
      </c>
    </row>
    <row r="31" spans="1:7" ht="21" customHeight="1" x14ac:dyDescent="0.25">
      <c r="A31" s="4" t="s">
        <v>328</v>
      </c>
      <c r="B31" s="62" t="s">
        <v>329</v>
      </c>
      <c r="C31" s="2" t="s">
        <v>342</v>
      </c>
      <c r="D31" s="62" t="s">
        <v>343</v>
      </c>
      <c r="E31" s="12">
        <f>F31/'1_Parametros_y_Supuestos'!B6</f>
        <v>26309.772514431224</v>
      </c>
      <c r="F31" s="13">
        <f>3500000*6*4</f>
        <v>84000000</v>
      </c>
      <c r="G31" s="14">
        <f>F31/$F$33</f>
        <v>0.17066561584325321</v>
      </c>
    </row>
    <row r="32" spans="1:7" ht="21" customHeight="1" x14ac:dyDescent="0.25">
      <c r="A32" s="15"/>
      <c r="B32" s="54" t="s">
        <v>163</v>
      </c>
      <c r="C32" s="55"/>
      <c r="D32" s="55"/>
      <c r="E32" s="16">
        <f>SUM(E26:E31)</f>
        <v>47309.772514431228</v>
      </c>
      <c r="F32" s="17">
        <f>E32*'1_Parametros_y_Supuestos'!$B$6</f>
        <v>151047330.00000003</v>
      </c>
      <c r="G32" s="18">
        <f>F32/$F$33</f>
        <v>0.30688792376106072</v>
      </c>
    </row>
    <row r="33" spans="1:7" ht="24.95" customHeight="1" x14ac:dyDescent="0.25">
      <c r="A33" s="19" t="s">
        <v>164</v>
      </c>
      <c r="B33" s="20" t="s">
        <v>165</v>
      </c>
      <c r="C33" s="20" t="s">
        <v>166</v>
      </c>
      <c r="D33" s="20" t="s">
        <v>167</v>
      </c>
      <c r="E33" s="21">
        <f>E17+E21+E24+E32</f>
        <v>154159.77251443121</v>
      </c>
      <c r="F33" s="22">
        <f>F17+F21+F24+F32</f>
        <v>492190530.5</v>
      </c>
      <c r="G33" s="23">
        <f>G17+G21+G24+G32</f>
        <v>1</v>
      </c>
    </row>
    <row r="35" spans="1:7" x14ac:dyDescent="0.25">
      <c r="B35" s="24" t="s">
        <v>168</v>
      </c>
    </row>
    <row r="36" spans="1:7" ht="15.75" thickBot="1" x14ac:dyDescent="0.3">
      <c r="B36" s="1" t="s">
        <v>169</v>
      </c>
      <c r="C36" s="1" t="s">
        <v>170</v>
      </c>
      <c r="D36" s="1" t="s">
        <v>171</v>
      </c>
      <c r="E36" s="1" t="s">
        <v>22</v>
      </c>
      <c r="F36" s="1" t="s">
        <v>172</v>
      </c>
    </row>
    <row r="37" spans="1:7" ht="18.95" customHeight="1" x14ac:dyDescent="0.25">
      <c r="B37" s="4" t="s">
        <v>76</v>
      </c>
      <c r="C37" s="2" t="s">
        <v>77</v>
      </c>
      <c r="D37" s="25">
        <f>E17</f>
        <v>91650</v>
      </c>
      <c r="E37" s="13">
        <f>F17</f>
        <v>292613704.5</v>
      </c>
      <c r="F37" s="14">
        <f>G17</f>
        <v>0.59451307241271678</v>
      </c>
    </row>
    <row r="38" spans="1:7" ht="18.95" customHeight="1" x14ac:dyDescent="0.25">
      <c r="B38" s="4" t="s">
        <v>123</v>
      </c>
      <c r="C38" s="2" t="s">
        <v>124</v>
      </c>
      <c r="D38" s="25">
        <f>E21</f>
        <v>14000</v>
      </c>
      <c r="E38" s="13">
        <f>F21</f>
        <v>44698220</v>
      </c>
      <c r="F38" s="14">
        <f>G21</f>
        <v>9.0814871945204961E-2</v>
      </c>
    </row>
    <row r="39" spans="1:7" ht="18.95" customHeight="1" x14ac:dyDescent="0.25">
      <c r="B39" s="4" t="s">
        <v>134</v>
      </c>
      <c r="C39" s="2" t="s">
        <v>135</v>
      </c>
      <c r="D39" s="25">
        <f>E24</f>
        <v>1200</v>
      </c>
      <c r="E39" s="13">
        <f>F24</f>
        <v>3831276</v>
      </c>
      <c r="F39" s="14">
        <f>G24</f>
        <v>7.7841318810175685E-3</v>
      </c>
      <c r="G39" s="63">
        <f>F39+F38+F37</f>
        <v>0.69311207623893933</v>
      </c>
    </row>
    <row r="40" spans="1:7" ht="18.95" customHeight="1" x14ac:dyDescent="0.25">
      <c r="B40" s="4" t="s">
        <v>141</v>
      </c>
      <c r="C40" s="2" t="s">
        <v>173</v>
      </c>
      <c r="D40" s="25">
        <f>E32</f>
        <v>47309.772514431228</v>
      </c>
      <c r="E40" s="13">
        <f>F32</f>
        <v>151047330.00000003</v>
      </c>
      <c r="F40" s="14">
        <f>G32</f>
        <v>0.30688792376106072</v>
      </c>
    </row>
  </sheetData>
  <mergeCells count="10">
    <mergeCell ref="A1:G1"/>
    <mergeCell ref="B5:G5"/>
    <mergeCell ref="B22:G22"/>
    <mergeCell ref="B32:D32"/>
    <mergeCell ref="B17:D17"/>
    <mergeCell ref="A2:G2"/>
    <mergeCell ref="B18:G18"/>
    <mergeCell ref="B21:D21"/>
    <mergeCell ref="B24:D24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zoomScale="85" zoomScaleNormal="85" workbookViewId="0">
      <pane ySplit="4" topLeftCell="A11" activePane="bottomLeft" state="frozen"/>
      <selection pane="bottomLeft" activeCell="D33" sqref="D33"/>
    </sheetView>
  </sheetViews>
  <sheetFormatPr baseColWidth="10" defaultColWidth="9.140625" defaultRowHeight="15" x14ac:dyDescent="0.25"/>
  <cols>
    <col min="1" max="1" width="10" customWidth="1"/>
    <col min="2" max="2" width="44" customWidth="1"/>
    <col min="3" max="3" width="30" customWidth="1"/>
    <col min="4" max="4" width="58" customWidth="1"/>
    <col min="5" max="5" width="20" customWidth="1"/>
    <col min="6" max="6" width="14" customWidth="1"/>
  </cols>
  <sheetData>
    <row r="1" spans="1:6" ht="27.95" customHeight="1" x14ac:dyDescent="0.25">
      <c r="A1" s="48" t="s">
        <v>174</v>
      </c>
      <c r="B1" s="49"/>
      <c r="C1" s="49"/>
      <c r="D1" s="49"/>
      <c r="E1" s="49"/>
      <c r="F1" s="49"/>
    </row>
    <row r="2" spans="1:6" ht="18" customHeight="1" x14ac:dyDescent="0.25">
      <c r="A2" s="51" t="s">
        <v>175</v>
      </c>
      <c r="B2" s="49"/>
      <c r="C2" s="49"/>
      <c r="D2" s="49"/>
      <c r="E2" s="49"/>
      <c r="F2" s="49"/>
    </row>
    <row r="4" spans="1:6" ht="21.95" customHeight="1" x14ac:dyDescent="0.25">
      <c r="A4" s="58" t="s">
        <v>176</v>
      </c>
      <c r="B4" s="49"/>
      <c r="C4" s="49"/>
      <c r="D4" s="49"/>
      <c r="E4" s="49"/>
      <c r="F4" s="49"/>
    </row>
    <row r="5" spans="1:6" ht="24" customHeight="1" x14ac:dyDescent="0.25">
      <c r="A5" s="26" t="s">
        <v>69</v>
      </c>
      <c r="B5" s="26" t="s">
        <v>177</v>
      </c>
      <c r="C5" s="26" t="s">
        <v>178</v>
      </c>
      <c r="D5" s="26" t="s">
        <v>179</v>
      </c>
      <c r="E5" s="26" t="s">
        <v>180</v>
      </c>
      <c r="F5" s="26" t="s">
        <v>181</v>
      </c>
    </row>
    <row r="6" spans="1:6" ht="21.95" customHeight="1" x14ac:dyDescent="0.25">
      <c r="A6" s="4" t="s">
        <v>136</v>
      </c>
      <c r="B6" s="2" t="s">
        <v>182</v>
      </c>
      <c r="C6" s="2" t="s">
        <v>183</v>
      </c>
      <c r="D6" s="2" t="s">
        <v>184</v>
      </c>
      <c r="E6" s="27">
        <f>'1_Parametros_y_Supuestos'!B15*'1_Parametros_y_Supuestos'!B20*'1_Parametros_y_Supuestos'!B21</f>
        <v>9335040</v>
      </c>
      <c r="F6" s="14">
        <f t="shared" ref="F6:F11" si="0">E6/$E$12</f>
        <v>0.36133251583895359</v>
      </c>
    </row>
    <row r="7" spans="1:6" ht="21.95" customHeight="1" x14ac:dyDescent="0.25">
      <c r="A7" s="4" t="s">
        <v>185</v>
      </c>
      <c r="B7" s="2" t="s">
        <v>186</v>
      </c>
      <c r="C7" s="2" t="s">
        <v>187</v>
      </c>
      <c r="D7" s="2" t="s">
        <v>188</v>
      </c>
      <c r="E7" s="7">
        <v>2400000</v>
      </c>
      <c r="F7" s="14">
        <f t="shared" si="0"/>
        <v>9.2897088605243108E-2</v>
      </c>
    </row>
    <row r="8" spans="1:6" ht="21.95" customHeight="1" x14ac:dyDescent="0.25">
      <c r="A8" s="4" t="s">
        <v>189</v>
      </c>
      <c r="B8" s="2" t="s">
        <v>190</v>
      </c>
      <c r="C8" s="2" t="s">
        <v>191</v>
      </c>
      <c r="D8" s="2" t="s">
        <v>192</v>
      </c>
      <c r="E8" s="7">
        <v>3600000</v>
      </c>
      <c r="F8" s="14">
        <f t="shared" si="0"/>
        <v>0.13934563290786467</v>
      </c>
    </row>
    <row r="9" spans="1:6" ht="21.95" customHeight="1" x14ac:dyDescent="0.25">
      <c r="A9" s="4" t="s">
        <v>193</v>
      </c>
      <c r="B9" s="2" t="s">
        <v>194</v>
      </c>
      <c r="C9" s="2" t="s">
        <v>195</v>
      </c>
      <c r="D9" s="2" t="s">
        <v>196</v>
      </c>
      <c r="E9" s="7">
        <v>2500000</v>
      </c>
      <c r="F9" s="14">
        <f t="shared" si="0"/>
        <v>9.6767800630461573E-2</v>
      </c>
    </row>
    <row r="10" spans="1:6" ht="21.95" customHeight="1" x14ac:dyDescent="0.25">
      <c r="A10" s="4" t="s">
        <v>197</v>
      </c>
      <c r="B10" s="2" t="s">
        <v>198</v>
      </c>
      <c r="C10" s="2" t="s">
        <v>199</v>
      </c>
      <c r="D10" s="2" t="s">
        <v>200</v>
      </c>
      <c r="E10" s="7">
        <v>3500000</v>
      </c>
      <c r="F10" s="14">
        <f t="shared" si="0"/>
        <v>0.1354749208826462</v>
      </c>
    </row>
    <row r="11" spans="1:6" ht="21.95" customHeight="1" x14ac:dyDescent="0.25">
      <c r="A11" s="4" t="s">
        <v>201</v>
      </c>
      <c r="B11" s="2" t="s">
        <v>202</v>
      </c>
      <c r="C11" s="2" t="s">
        <v>203</v>
      </c>
      <c r="D11" s="2" t="s">
        <v>204</v>
      </c>
      <c r="E11" s="7">
        <v>4500000</v>
      </c>
      <c r="F11" s="14">
        <f t="shared" si="0"/>
        <v>0.17418204113483082</v>
      </c>
    </row>
    <row r="12" spans="1:6" ht="24" customHeight="1" x14ac:dyDescent="0.25">
      <c r="A12" s="19" t="s">
        <v>164</v>
      </c>
      <c r="B12" s="20" t="s">
        <v>205</v>
      </c>
      <c r="C12" s="20" t="s">
        <v>206</v>
      </c>
      <c r="D12" s="20" t="s">
        <v>207</v>
      </c>
      <c r="E12" s="22">
        <f>SUM(E6:E11)</f>
        <v>25835040</v>
      </c>
      <c r="F12" s="23">
        <f>SUM(F6:F11)</f>
        <v>0.99999999999999989</v>
      </c>
    </row>
    <row r="15" spans="1:6" ht="21.95" customHeight="1" x14ac:dyDescent="0.25">
      <c r="A15" s="58" t="s">
        <v>208</v>
      </c>
      <c r="B15" s="49"/>
      <c r="C15" s="49"/>
      <c r="D15" s="49"/>
      <c r="E15" s="49"/>
      <c r="F15" s="49"/>
    </row>
    <row r="16" spans="1:6" ht="24" customHeight="1" x14ac:dyDescent="0.25">
      <c r="A16" s="26" t="s">
        <v>69</v>
      </c>
      <c r="B16" s="26" t="s">
        <v>209</v>
      </c>
      <c r="C16" s="26" t="s">
        <v>210</v>
      </c>
      <c r="D16" s="26" t="s">
        <v>211</v>
      </c>
      <c r="E16" s="26" t="s">
        <v>212</v>
      </c>
      <c r="F16" s="26" t="s">
        <v>213</v>
      </c>
    </row>
    <row r="17" spans="1:6" ht="25.5" x14ac:dyDescent="0.25">
      <c r="A17" s="4" t="s">
        <v>143</v>
      </c>
      <c r="B17" s="2" t="s">
        <v>214</v>
      </c>
      <c r="C17" s="2" t="s">
        <v>215</v>
      </c>
      <c r="D17" s="2" t="s">
        <v>333</v>
      </c>
      <c r="E17" s="27">
        <f>'1_Parametros_y_Supuestos'!B25*'1_Parametros_y_Supuestos'!B26*'1_Parametros_y_Supuestos'!B13</f>
        <v>64591800</v>
      </c>
      <c r="F17" s="14">
        <f>E17/$E$22</f>
        <v>0.30613417203891335</v>
      </c>
    </row>
    <row r="18" spans="1:6" ht="30" customHeight="1" x14ac:dyDescent="0.25">
      <c r="A18" s="4" t="s">
        <v>147</v>
      </c>
      <c r="B18" s="2" t="s">
        <v>216</v>
      </c>
      <c r="C18" s="2" t="s">
        <v>217</v>
      </c>
      <c r="D18" s="2" t="s">
        <v>218</v>
      </c>
      <c r="E18" s="7">
        <v>24000000</v>
      </c>
      <c r="F18" s="14">
        <f>E18/$E$22</f>
        <v>0.11374849638706339</v>
      </c>
    </row>
    <row r="19" spans="1:6" x14ac:dyDescent="0.25">
      <c r="A19" s="4" t="s">
        <v>151</v>
      </c>
      <c r="B19" s="2" t="s">
        <v>219</v>
      </c>
      <c r="C19" s="2" t="s">
        <v>220</v>
      </c>
      <c r="D19" s="2" t="s">
        <v>335</v>
      </c>
      <c r="E19" s="27">
        <f>'1_Parametros_y_Supuestos'!B27*'1_Parametros_y_Supuestos'!B28*'1_Parametros_y_Supuestos'!B29</f>
        <v>62400000</v>
      </c>
      <c r="F19" s="14">
        <f>E19/$E$22</f>
        <v>0.29574609060636481</v>
      </c>
    </row>
    <row r="20" spans="1:6" ht="28.5" customHeight="1" x14ac:dyDescent="0.25">
      <c r="A20" s="4" t="s">
        <v>155</v>
      </c>
      <c r="B20" s="2" t="s">
        <v>221</v>
      </c>
      <c r="C20" s="2" t="s">
        <v>222</v>
      </c>
      <c r="D20" s="2" t="s">
        <v>223</v>
      </c>
      <c r="E20" s="7">
        <v>45000000</v>
      </c>
      <c r="F20" s="14">
        <f>E20/$E$22</f>
        <v>0.21327843072574384</v>
      </c>
    </row>
    <row r="21" spans="1:6" ht="25.5" x14ac:dyDescent="0.25">
      <c r="A21" s="4" t="s">
        <v>159</v>
      </c>
      <c r="B21" s="2" t="s">
        <v>224</v>
      </c>
      <c r="C21" s="2" t="s">
        <v>225</v>
      </c>
      <c r="D21" s="2" t="s">
        <v>226</v>
      </c>
      <c r="E21" s="7">
        <v>15000000</v>
      </c>
      <c r="F21" s="14">
        <f>E21/$E$22</f>
        <v>7.109281024191462E-2</v>
      </c>
    </row>
    <row r="22" spans="1:6" ht="30" x14ac:dyDescent="0.25">
      <c r="A22" s="19" t="s">
        <v>164</v>
      </c>
      <c r="B22" s="20" t="s">
        <v>227</v>
      </c>
      <c r="C22" s="20" t="s">
        <v>228</v>
      </c>
      <c r="D22" s="20" t="s">
        <v>334</v>
      </c>
      <c r="E22" s="22">
        <f>SUM(E17:E21)</f>
        <v>210991800</v>
      </c>
      <c r="F22" s="23">
        <f>SUM(F17:F21)</f>
        <v>1</v>
      </c>
    </row>
    <row r="25" spans="1:6" ht="21.95" customHeight="1" x14ac:dyDescent="0.25">
      <c r="A25" s="61" t="s">
        <v>229</v>
      </c>
      <c r="B25" s="49"/>
      <c r="C25" s="49"/>
      <c r="D25" s="49"/>
      <c r="E25" s="49"/>
      <c r="F25" s="49"/>
    </row>
    <row r="26" spans="1:6" ht="23.1" customHeight="1" x14ac:dyDescent="0.25">
      <c r="A26" s="56" t="s">
        <v>230</v>
      </c>
      <c r="B26" s="57"/>
      <c r="C26" s="57"/>
      <c r="D26" s="57"/>
      <c r="E26" s="28">
        <f>E22</f>
        <v>210991800</v>
      </c>
      <c r="F26" s="29">
        <f>E26/$E$26</f>
        <v>1</v>
      </c>
    </row>
    <row r="27" spans="1:6" ht="23.1" customHeight="1" x14ac:dyDescent="0.25">
      <c r="A27" s="56" t="s">
        <v>231</v>
      </c>
      <c r="B27" s="57"/>
      <c r="C27" s="57"/>
      <c r="D27" s="57"/>
      <c r="E27" s="28">
        <f>-E12</f>
        <v>-25835040</v>
      </c>
      <c r="F27" s="29">
        <f>E12/$E$26</f>
        <v>0.12244570642081826</v>
      </c>
    </row>
    <row r="28" spans="1:6" ht="23.1" customHeight="1" x14ac:dyDescent="0.25">
      <c r="A28" s="59" t="s">
        <v>232</v>
      </c>
      <c r="B28" s="60"/>
      <c r="C28" s="60"/>
      <c r="D28" s="60"/>
      <c r="E28" s="30">
        <f>E26+E27</f>
        <v>185156760</v>
      </c>
      <c r="F28" s="31">
        <f>E28/$E$26</f>
        <v>0.8775542935791818</v>
      </c>
    </row>
  </sheetData>
  <mergeCells count="8">
    <mergeCell ref="A28:D28"/>
    <mergeCell ref="A15:F15"/>
    <mergeCell ref="A25:F25"/>
    <mergeCell ref="A2:F2"/>
    <mergeCell ref="A27:D27"/>
    <mergeCell ref="A1:F1"/>
    <mergeCell ref="A26:D26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zoomScale="85" zoomScaleNormal="85" workbookViewId="0">
      <pane xSplit="1" ySplit="9" topLeftCell="B10" activePane="bottomRight" state="frozen"/>
      <selection pane="topRight"/>
      <selection pane="bottomLeft"/>
      <selection pane="bottomRight" activeCell="D14" sqref="D14"/>
    </sheetView>
  </sheetViews>
  <sheetFormatPr baseColWidth="10" defaultColWidth="9.140625" defaultRowHeight="15" x14ac:dyDescent="0.25"/>
  <cols>
    <col min="1" max="1" width="46" customWidth="1"/>
    <col min="2" max="3" width="18" customWidth="1"/>
    <col min="4" max="4" width="24.5703125" customWidth="1"/>
    <col min="5" max="7" width="18" customWidth="1"/>
    <col min="8" max="8" width="22" customWidth="1"/>
  </cols>
  <sheetData>
    <row r="1" spans="1:8" ht="27.95" customHeight="1" x14ac:dyDescent="0.25">
      <c r="A1" s="48" t="s">
        <v>233</v>
      </c>
      <c r="B1" s="49"/>
      <c r="C1" s="49"/>
      <c r="D1" s="49"/>
      <c r="E1" s="49"/>
      <c r="F1" s="49"/>
      <c r="G1" s="49"/>
      <c r="H1" s="49"/>
    </row>
    <row r="2" spans="1:8" ht="18" customHeight="1" x14ac:dyDescent="0.25">
      <c r="A2" s="51" t="s">
        <v>234</v>
      </c>
      <c r="B2" s="49"/>
      <c r="C2" s="49"/>
      <c r="D2" s="49"/>
      <c r="E2" s="49"/>
      <c r="F2" s="49"/>
      <c r="G2" s="49"/>
      <c r="H2" s="49"/>
    </row>
    <row r="4" spans="1:8" ht="21.95" customHeight="1" x14ac:dyDescent="0.25">
      <c r="A4" s="58" t="s">
        <v>235</v>
      </c>
      <c r="B4" s="49"/>
      <c r="C4" s="49"/>
      <c r="D4" s="49"/>
      <c r="E4" s="49"/>
      <c r="F4" s="49"/>
      <c r="G4" s="49"/>
      <c r="H4" s="49"/>
    </row>
    <row r="5" spans="1:8" ht="20.100000000000001" customHeight="1" x14ac:dyDescent="0.25">
      <c r="A5" s="32" t="s">
        <v>236</v>
      </c>
      <c r="B5" s="33">
        <f>'2_CAPEX_Inversion'!F33</f>
        <v>492190530.5</v>
      </c>
      <c r="D5" s="32" t="s">
        <v>237</v>
      </c>
      <c r="E5" s="33">
        <f>'2_CAPEX_Inversion'!F33/'1_Parametros_y_Supuestos'!B10</f>
        <v>98438106.099999994</v>
      </c>
    </row>
    <row r="6" spans="1:8" ht="20.100000000000001" customHeight="1" x14ac:dyDescent="0.25">
      <c r="A6" s="32" t="s">
        <v>238</v>
      </c>
      <c r="B6" s="34">
        <f>'1_Parametros_y_Supuestos'!B9</f>
        <v>0.35</v>
      </c>
      <c r="D6" s="32" t="s">
        <v>239</v>
      </c>
      <c r="E6" s="33">
        <f>'1_Parametros_y_Supuestos'!B11</f>
        <v>40000000</v>
      </c>
    </row>
    <row r="7" spans="1:8" ht="20.100000000000001" customHeight="1" x14ac:dyDescent="0.25">
      <c r="A7" s="32" t="s">
        <v>240</v>
      </c>
      <c r="B7" s="34">
        <f>'1_Parametros_y_Supuestos'!B8</f>
        <v>0.13500000000000001</v>
      </c>
      <c r="D7" s="32" t="s">
        <v>241</v>
      </c>
      <c r="E7" s="35">
        <f>'1_Parametros_y_Supuestos'!B7</f>
        <v>5</v>
      </c>
    </row>
    <row r="9" spans="1:8" ht="24" customHeight="1" x14ac:dyDescent="0.25">
      <c r="A9" s="26" t="s">
        <v>242</v>
      </c>
      <c r="B9" s="26" t="s">
        <v>243</v>
      </c>
      <c r="C9" s="26" t="s">
        <v>244</v>
      </c>
      <c r="D9" s="26" t="s">
        <v>245</v>
      </c>
      <c r="E9" s="26" t="s">
        <v>246</v>
      </c>
      <c r="F9" s="26" t="s">
        <v>247</v>
      </c>
      <c r="G9" s="26" t="s">
        <v>248</v>
      </c>
      <c r="H9" s="26" t="s">
        <v>249</v>
      </c>
    </row>
    <row r="10" spans="1:8" ht="21.95" customHeight="1" x14ac:dyDescent="0.25">
      <c r="A10" s="36" t="s">
        <v>250</v>
      </c>
      <c r="B10" s="37">
        <f>-'2_CAPEX_Inversion'!F33</f>
        <v>-492190530.5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f>B10</f>
        <v>-492190530.5</v>
      </c>
    </row>
    <row r="11" spans="1:8" ht="21.95" customHeight="1" x14ac:dyDescent="0.25">
      <c r="A11" s="2" t="s">
        <v>251</v>
      </c>
      <c r="B11" s="13">
        <v>0</v>
      </c>
      <c r="C11" s="13">
        <f>'3_OPEX_y_Beneficios'!$E$22</f>
        <v>210991800</v>
      </c>
      <c r="D11" s="13">
        <f>'3_OPEX_y_Beneficios'!$E$22</f>
        <v>210991800</v>
      </c>
      <c r="E11" s="13">
        <f>'3_OPEX_y_Beneficios'!$E$22</f>
        <v>210991800</v>
      </c>
      <c r="F11" s="13">
        <f>'3_OPEX_y_Beneficios'!$E$22</f>
        <v>210991800</v>
      </c>
      <c r="G11" s="13">
        <f>'3_OPEX_y_Beneficios'!$E$22</f>
        <v>210991800</v>
      </c>
      <c r="H11" s="13">
        <f t="shared" ref="H11:H20" si="0">SUM(C11:G11)</f>
        <v>1054959000</v>
      </c>
    </row>
    <row r="12" spans="1:8" ht="21.95" customHeight="1" x14ac:dyDescent="0.25">
      <c r="A12" s="2" t="s">
        <v>252</v>
      </c>
      <c r="B12" s="13">
        <v>0</v>
      </c>
      <c r="C12" s="13">
        <f>-'3_OPEX_y_Beneficios'!$E$12</f>
        <v>-25835040</v>
      </c>
      <c r="D12" s="13">
        <f>-'3_OPEX_y_Beneficios'!$E$12</f>
        <v>-25835040</v>
      </c>
      <c r="E12" s="13">
        <f>-'3_OPEX_y_Beneficios'!$E$12</f>
        <v>-25835040</v>
      </c>
      <c r="F12" s="13">
        <f>-'3_OPEX_y_Beneficios'!$E$12</f>
        <v>-25835040</v>
      </c>
      <c r="G12" s="13">
        <f>-'3_OPEX_y_Beneficios'!$E$12</f>
        <v>-25835040</v>
      </c>
      <c r="H12" s="13">
        <f t="shared" si="0"/>
        <v>-129175200</v>
      </c>
    </row>
    <row r="13" spans="1:8" ht="21.95" customHeight="1" x14ac:dyDescent="0.25">
      <c r="A13" s="36" t="s">
        <v>253</v>
      </c>
      <c r="B13" s="37">
        <v>0</v>
      </c>
      <c r="C13" s="37">
        <f>C11+C12</f>
        <v>185156760</v>
      </c>
      <c r="D13" s="37">
        <f>D11+D12</f>
        <v>185156760</v>
      </c>
      <c r="E13" s="37">
        <f>E11+E12</f>
        <v>185156760</v>
      </c>
      <c r="F13" s="37">
        <f>F11+F12</f>
        <v>185156760</v>
      </c>
      <c r="G13" s="37">
        <f>G11+G12</f>
        <v>185156760</v>
      </c>
      <c r="H13" s="37">
        <f t="shared" si="0"/>
        <v>925783800</v>
      </c>
    </row>
    <row r="14" spans="1:8" ht="21.95" customHeight="1" x14ac:dyDescent="0.25">
      <c r="A14" s="2" t="s">
        <v>254</v>
      </c>
      <c r="B14" s="13">
        <v>0</v>
      </c>
      <c r="C14" s="13">
        <f>-$E$5</f>
        <v>-98438106.099999994</v>
      </c>
      <c r="D14" s="13">
        <f>-$E$5</f>
        <v>-98438106.099999994</v>
      </c>
      <c r="E14" s="13">
        <f>-$E$5</f>
        <v>-98438106.099999994</v>
      </c>
      <c r="F14" s="13">
        <f>-$E$5</f>
        <v>-98438106.099999994</v>
      </c>
      <c r="G14" s="13">
        <f>-$E$5</f>
        <v>-98438106.099999994</v>
      </c>
      <c r="H14" s="13">
        <f t="shared" si="0"/>
        <v>-492190530.5</v>
      </c>
    </row>
    <row r="15" spans="1:8" ht="21.95" customHeight="1" x14ac:dyDescent="0.25">
      <c r="A15" s="36" t="s">
        <v>255</v>
      </c>
      <c r="B15" s="37">
        <v>0</v>
      </c>
      <c r="C15" s="37">
        <f>C13+C14</f>
        <v>86718653.900000006</v>
      </c>
      <c r="D15" s="37">
        <f>D13+D14</f>
        <v>86718653.900000006</v>
      </c>
      <c r="E15" s="37">
        <f>E13+E14</f>
        <v>86718653.900000006</v>
      </c>
      <c r="F15" s="37">
        <f>F13+F14</f>
        <v>86718653.900000006</v>
      </c>
      <c r="G15" s="37">
        <f>G13+G14</f>
        <v>86718653.900000006</v>
      </c>
      <c r="H15" s="37">
        <f t="shared" si="0"/>
        <v>433593269.5</v>
      </c>
    </row>
    <row r="16" spans="1:8" ht="21.95" customHeight="1" x14ac:dyDescent="0.25">
      <c r="A16" s="2" t="s">
        <v>256</v>
      </c>
      <c r="B16" s="13">
        <v>0</v>
      </c>
      <c r="C16" s="13">
        <f>-C15*$B$6</f>
        <v>-30351528.864999998</v>
      </c>
      <c r="D16" s="13">
        <f>-D15*$B$6</f>
        <v>-30351528.864999998</v>
      </c>
      <c r="E16" s="13">
        <f>-E15*$B$6</f>
        <v>-30351528.864999998</v>
      </c>
      <c r="F16" s="13">
        <f>-F15*$B$6</f>
        <v>-30351528.864999998</v>
      </c>
      <c r="G16" s="13">
        <f>-G15*$B$6</f>
        <v>-30351528.864999998</v>
      </c>
      <c r="H16" s="13">
        <f t="shared" si="0"/>
        <v>-151757644.32499999</v>
      </c>
    </row>
    <row r="17" spans="1:8" ht="21.95" customHeight="1" x14ac:dyDescent="0.25">
      <c r="A17" s="36" t="s">
        <v>257</v>
      </c>
      <c r="B17" s="37">
        <v>0</v>
      </c>
      <c r="C17" s="37">
        <f>C15+C16</f>
        <v>56367125.035000011</v>
      </c>
      <c r="D17" s="37">
        <f>D15+D16</f>
        <v>56367125.035000011</v>
      </c>
      <c r="E17" s="37">
        <f>E15+E16</f>
        <v>56367125.035000011</v>
      </c>
      <c r="F17" s="37">
        <f>F15+F16</f>
        <v>56367125.035000011</v>
      </c>
      <c r="G17" s="37">
        <f>G15+G16</f>
        <v>56367125.035000011</v>
      </c>
      <c r="H17" s="37">
        <f t="shared" si="0"/>
        <v>281835625.17500007</v>
      </c>
    </row>
    <row r="18" spans="1:8" ht="21.95" customHeight="1" x14ac:dyDescent="0.25">
      <c r="A18" s="2" t="s">
        <v>258</v>
      </c>
      <c r="B18" s="13">
        <v>0</v>
      </c>
      <c r="C18" s="13">
        <f>-C14</f>
        <v>98438106.099999994</v>
      </c>
      <c r="D18" s="13">
        <f>-D14</f>
        <v>98438106.099999994</v>
      </c>
      <c r="E18" s="13">
        <f>-E14</f>
        <v>98438106.099999994</v>
      </c>
      <c r="F18" s="13">
        <f>-F14</f>
        <v>98438106.099999994</v>
      </c>
      <c r="G18" s="13">
        <f>-G14</f>
        <v>98438106.099999994</v>
      </c>
      <c r="H18" s="13">
        <f t="shared" si="0"/>
        <v>492190530.5</v>
      </c>
    </row>
    <row r="19" spans="1:8" ht="21.95" customHeight="1" x14ac:dyDescent="0.25">
      <c r="A19" s="2" t="s">
        <v>259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f>$E$6</f>
        <v>40000000</v>
      </c>
      <c r="H19" s="13">
        <f t="shared" si="0"/>
        <v>40000000</v>
      </c>
    </row>
    <row r="20" spans="1:8" ht="21.95" customHeight="1" x14ac:dyDescent="0.25">
      <c r="A20" s="38" t="s">
        <v>260</v>
      </c>
      <c r="B20" s="30">
        <f>B10</f>
        <v>-492190530.5</v>
      </c>
      <c r="C20" s="30">
        <f>C17+C18+C19</f>
        <v>154805231.13499999</v>
      </c>
      <c r="D20" s="30">
        <f>D17+D18+D19</f>
        <v>154805231.13499999</v>
      </c>
      <c r="E20" s="30">
        <f>E17+E18+E19</f>
        <v>154805231.13499999</v>
      </c>
      <c r="F20" s="30">
        <f>F17+F18+F19</f>
        <v>154805231.13499999</v>
      </c>
      <c r="G20" s="30">
        <f>G17+G18+G19</f>
        <v>194805231.13499999</v>
      </c>
      <c r="H20" s="30">
        <f t="shared" si="0"/>
        <v>814026155.67499995</v>
      </c>
    </row>
    <row r="23" spans="1:8" ht="21.95" customHeight="1" x14ac:dyDescent="0.25">
      <c r="A23" s="58" t="s">
        <v>261</v>
      </c>
      <c r="B23" s="49"/>
      <c r="C23" s="49"/>
      <c r="D23" s="49"/>
      <c r="E23" s="49"/>
      <c r="F23" s="49"/>
      <c r="G23" s="49"/>
      <c r="H23" s="49"/>
    </row>
    <row r="24" spans="1:8" ht="21" customHeight="1" x14ac:dyDescent="0.25">
      <c r="A24" s="2" t="s">
        <v>262</v>
      </c>
      <c r="B24" s="39">
        <v>0</v>
      </c>
      <c r="C24" s="39">
        <v>1</v>
      </c>
      <c r="D24" s="39">
        <v>2</v>
      </c>
      <c r="E24" s="39">
        <v>3</v>
      </c>
      <c r="F24" s="39">
        <v>4</v>
      </c>
      <c r="G24" s="39">
        <v>5</v>
      </c>
      <c r="H24" s="4" t="s">
        <v>263</v>
      </c>
    </row>
    <row r="25" spans="1:8" ht="21" customHeight="1" x14ac:dyDescent="0.25">
      <c r="A25" s="2" t="s">
        <v>264</v>
      </c>
      <c r="B25" s="40">
        <f t="shared" ref="B25:G25" si="1">1/(1+$B$7)^B24</f>
        <v>1</v>
      </c>
      <c r="C25" s="40">
        <f t="shared" si="1"/>
        <v>0.88105726872246692</v>
      </c>
      <c r="D25" s="40">
        <f t="shared" si="1"/>
        <v>0.77626191076869333</v>
      </c>
      <c r="E25" s="40">
        <f t="shared" si="1"/>
        <v>0.68393119891514842</v>
      </c>
      <c r="F25" s="40">
        <f t="shared" si="1"/>
        <v>0.60258255411026285</v>
      </c>
      <c r="G25" s="40">
        <f t="shared" si="1"/>
        <v>0.53090973930419638</v>
      </c>
      <c r="H25" s="4" t="s">
        <v>263</v>
      </c>
    </row>
    <row r="26" spans="1:8" ht="21" customHeight="1" x14ac:dyDescent="0.25">
      <c r="A26" s="2" t="s">
        <v>265</v>
      </c>
      <c r="B26" s="13">
        <f>B20</f>
        <v>-492190530.5</v>
      </c>
      <c r="C26" s="13">
        <f>B26+C20</f>
        <v>-337385299.36500001</v>
      </c>
      <c r="D26" s="13">
        <f>C26+D20</f>
        <v>-182580068.23000002</v>
      </c>
      <c r="E26" s="13">
        <f>D26+E20</f>
        <v>-27774837.095000029</v>
      </c>
      <c r="F26" s="13">
        <f>E26+F20</f>
        <v>127030394.03999996</v>
      </c>
      <c r="G26" s="13">
        <f>F26+G20</f>
        <v>321835625.17499995</v>
      </c>
      <c r="H26" s="13">
        <f>G26</f>
        <v>321835625.17499995</v>
      </c>
    </row>
    <row r="27" spans="1:8" ht="21" customHeight="1" x14ac:dyDescent="0.25">
      <c r="A27" s="36" t="s">
        <v>266</v>
      </c>
      <c r="B27" s="37">
        <f t="shared" ref="B27:G27" si="2">B20*B25</f>
        <v>-492190530.5</v>
      </c>
      <c r="C27" s="37">
        <f t="shared" si="2"/>
        <v>136392274.12775329</v>
      </c>
      <c r="D27" s="37">
        <f t="shared" si="2"/>
        <v>120169404.5178443</v>
      </c>
      <c r="E27" s="37">
        <f t="shared" si="2"/>
        <v>105876127.3284972</v>
      </c>
      <c r="F27" s="37">
        <f t="shared" si="2"/>
        <v>93282931.566957876</v>
      </c>
      <c r="G27" s="37">
        <f t="shared" si="2"/>
        <v>103423994.47697656</v>
      </c>
      <c r="H27" s="37">
        <f>SUM(C27:G27)</f>
        <v>559144732.01802921</v>
      </c>
    </row>
    <row r="28" spans="1:8" ht="21" customHeight="1" x14ac:dyDescent="0.25">
      <c r="A28" s="36" t="s">
        <v>267</v>
      </c>
      <c r="B28" s="37">
        <f>B27</f>
        <v>-492190530.5</v>
      </c>
      <c r="C28" s="37">
        <f>B28+C27</f>
        <v>-355798256.37224674</v>
      </c>
      <c r="D28" s="37">
        <f>C28+D27</f>
        <v>-235628851.85440242</v>
      </c>
      <c r="E28" s="37">
        <f>D28+E27</f>
        <v>-129752724.52590522</v>
      </c>
      <c r="F28" s="37">
        <f>E28+F27</f>
        <v>-36469792.958947346</v>
      </c>
      <c r="G28" s="37">
        <f>F28+G27</f>
        <v>66954201.518029213</v>
      </c>
      <c r="H28" s="37">
        <f>G28</f>
        <v>66954201.518029213</v>
      </c>
    </row>
  </sheetData>
  <mergeCells count="4">
    <mergeCell ref="A23:H23"/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pane ySplit="4" topLeftCell="A5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44" customWidth="1"/>
    <col min="2" max="2" width="20" customWidth="1"/>
    <col min="3" max="3" width="14" customWidth="1"/>
    <col min="4" max="4" width="26" customWidth="1"/>
    <col min="5" max="5" width="48" customWidth="1"/>
    <col min="6" max="6" width="16" customWidth="1"/>
  </cols>
  <sheetData>
    <row r="1" spans="1:6" ht="27.95" customHeight="1" x14ac:dyDescent="0.25">
      <c r="A1" s="48" t="s">
        <v>268</v>
      </c>
      <c r="B1" s="49"/>
      <c r="C1" s="49"/>
      <c r="D1" s="49"/>
      <c r="E1" s="49"/>
      <c r="F1" s="49"/>
    </row>
    <row r="2" spans="1:6" ht="18" customHeight="1" x14ac:dyDescent="0.25">
      <c r="A2" s="51" t="s">
        <v>269</v>
      </c>
      <c r="B2" s="49"/>
      <c r="C2" s="49"/>
      <c r="D2" s="49"/>
      <c r="E2" s="49"/>
      <c r="F2" s="49"/>
    </row>
    <row r="4" spans="1:6" ht="21.95" customHeight="1" x14ac:dyDescent="0.25">
      <c r="A4" s="58" t="s">
        <v>270</v>
      </c>
      <c r="B4" s="49"/>
      <c r="C4" s="49"/>
      <c r="D4" s="49"/>
      <c r="E4" s="49"/>
      <c r="F4" s="49"/>
    </row>
    <row r="5" spans="1:6" ht="24" customHeight="1" x14ac:dyDescent="0.25">
      <c r="A5" s="26" t="s">
        <v>271</v>
      </c>
      <c r="B5" s="26" t="s">
        <v>272</v>
      </c>
      <c r="C5" s="26" t="s">
        <v>4</v>
      </c>
      <c r="D5" s="26" t="s">
        <v>273</v>
      </c>
      <c r="E5" s="26" t="s">
        <v>274</v>
      </c>
      <c r="F5" s="26" t="s">
        <v>275</v>
      </c>
    </row>
    <row r="6" spans="1:6" ht="21" customHeight="1" x14ac:dyDescent="0.25">
      <c r="A6" s="2" t="s">
        <v>276</v>
      </c>
      <c r="B6" s="27">
        <f>'2_CAPEX_Inversion'!F33</f>
        <v>492190530.5</v>
      </c>
      <c r="C6" s="4" t="s">
        <v>22</v>
      </c>
      <c r="D6" s="4" t="s">
        <v>277</v>
      </c>
      <c r="E6" s="2" t="s">
        <v>336</v>
      </c>
      <c r="F6" s="41" t="s">
        <v>278</v>
      </c>
    </row>
    <row r="7" spans="1:6" ht="21" hidden="1" customHeight="1" x14ac:dyDescent="0.25">
      <c r="A7" s="42" t="s">
        <v>279</v>
      </c>
      <c r="B7" s="43">
        <f>'2_CAPEX_Inversion'!E33</f>
        <v>154159.77251443121</v>
      </c>
      <c r="C7" s="44" t="s">
        <v>171</v>
      </c>
      <c r="D7" s="44" t="s">
        <v>280</v>
      </c>
      <c r="E7" s="42" t="s">
        <v>281</v>
      </c>
      <c r="F7" s="41" t="s">
        <v>278</v>
      </c>
    </row>
    <row r="8" spans="1:6" ht="21" customHeight="1" x14ac:dyDescent="0.25">
      <c r="A8" s="2" t="s">
        <v>282</v>
      </c>
      <c r="B8" s="27">
        <f>'3_OPEX_y_Beneficios'!E12</f>
        <v>25835040</v>
      </c>
      <c r="C8" s="4" t="s">
        <v>283</v>
      </c>
      <c r="D8" s="4" t="s">
        <v>284</v>
      </c>
      <c r="E8" s="2" t="s">
        <v>337</v>
      </c>
      <c r="F8" s="41" t="s">
        <v>285</v>
      </c>
    </row>
    <row r="9" spans="1:6" ht="21" customHeight="1" x14ac:dyDescent="0.25">
      <c r="A9" s="42" t="s">
        <v>286</v>
      </c>
      <c r="B9" s="28">
        <f>'3_OPEX_y_Beneficios'!E22</f>
        <v>210991800</v>
      </c>
      <c r="C9" s="44" t="s">
        <v>283</v>
      </c>
      <c r="D9" s="44" t="s">
        <v>287</v>
      </c>
      <c r="E9" s="42" t="s">
        <v>338</v>
      </c>
      <c r="F9" s="41" t="s">
        <v>288</v>
      </c>
    </row>
    <row r="10" spans="1:6" ht="21" customHeight="1" x14ac:dyDescent="0.25">
      <c r="A10" s="2" t="s">
        <v>289</v>
      </c>
      <c r="B10" s="27">
        <f>'3_OPEX_y_Beneficios'!E28</f>
        <v>185156760</v>
      </c>
      <c r="C10" s="4" t="s">
        <v>283</v>
      </c>
      <c r="D10" s="4" t="s">
        <v>290</v>
      </c>
      <c r="E10" s="2" t="s">
        <v>339</v>
      </c>
      <c r="F10" s="41" t="s">
        <v>291</v>
      </c>
    </row>
    <row r="11" spans="1:6" ht="21" customHeight="1" x14ac:dyDescent="0.25">
      <c r="A11" s="42" t="s">
        <v>292</v>
      </c>
      <c r="B11" s="28">
        <f>'4_Flujo_de_Caja_y_VPN'!C20</f>
        <v>154805231.13499999</v>
      </c>
      <c r="C11" s="44" t="s">
        <v>283</v>
      </c>
      <c r="D11" s="44" t="s">
        <v>293</v>
      </c>
      <c r="E11" s="42" t="s">
        <v>294</v>
      </c>
      <c r="F11" s="41" t="s">
        <v>295</v>
      </c>
    </row>
    <row r="12" spans="1:6" ht="21" customHeight="1" x14ac:dyDescent="0.25">
      <c r="A12" s="2" t="s">
        <v>296</v>
      </c>
      <c r="B12" s="27">
        <f>'4_Flujo_de_Caja_y_VPN'!G20</f>
        <v>194805231.13499999</v>
      </c>
      <c r="C12" s="4" t="s">
        <v>22</v>
      </c>
      <c r="D12" s="4" t="s">
        <v>297</v>
      </c>
      <c r="E12" s="2" t="s">
        <v>298</v>
      </c>
      <c r="F12" s="41" t="s">
        <v>295</v>
      </c>
    </row>
    <row r="13" spans="1:6" ht="21" customHeight="1" x14ac:dyDescent="0.25">
      <c r="A13" s="42" t="s">
        <v>13</v>
      </c>
      <c r="B13" s="29">
        <f>'1_Parametros_y_Supuestos'!B8</f>
        <v>0.13500000000000001</v>
      </c>
      <c r="C13" s="44" t="s">
        <v>14</v>
      </c>
      <c r="D13" s="44" t="s">
        <v>299</v>
      </c>
      <c r="E13" s="42" t="s">
        <v>300</v>
      </c>
      <c r="F13" s="41" t="s">
        <v>301</v>
      </c>
    </row>
    <row r="14" spans="1:6" ht="21" customHeight="1" x14ac:dyDescent="0.25">
      <c r="A14" s="2" t="s">
        <v>302</v>
      </c>
      <c r="B14" s="27">
        <f>'4_Flujo_de_Caja_y_VPN'!H27</f>
        <v>559144732.01802921</v>
      </c>
      <c r="C14" s="4" t="s">
        <v>22</v>
      </c>
      <c r="D14" s="4" t="s">
        <v>303</v>
      </c>
      <c r="E14" s="2" t="s">
        <v>304</v>
      </c>
      <c r="F14" s="41" t="s">
        <v>305</v>
      </c>
    </row>
    <row r="15" spans="1:6" ht="21" customHeight="1" x14ac:dyDescent="0.25">
      <c r="A15" s="36" t="s">
        <v>306</v>
      </c>
      <c r="B15" s="37">
        <f>NPV('1_Parametros_y_Supuestos'!B8,'4_Flujo_de_Caja_y_VPN'!C20:G20)+'4_Flujo_de_Caja_y_VPN'!B20</f>
        <v>66954201.518029213</v>
      </c>
      <c r="C15" s="45" t="s">
        <v>22</v>
      </c>
      <c r="D15" s="45" t="s">
        <v>307</v>
      </c>
      <c r="E15" s="36" t="s">
        <v>308</v>
      </c>
      <c r="F15" s="41" t="s">
        <v>309</v>
      </c>
    </row>
    <row r="16" spans="1:6" ht="21" customHeight="1" x14ac:dyDescent="0.25">
      <c r="A16" s="36" t="s">
        <v>310</v>
      </c>
      <c r="B16" s="46">
        <f>IRR('4_Flujo_de_Caja_y_VPN'!B20:G20)</f>
        <v>0.1881515594737595</v>
      </c>
      <c r="C16" s="45" t="s">
        <v>14</v>
      </c>
      <c r="D16" s="45" t="s">
        <v>311</v>
      </c>
      <c r="E16" s="36" t="s">
        <v>340</v>
      </c>
      <c r="F16" s="41" t="s">
        <v>312</v>
      </c>
    </row>
    <row r="17" spans="1:6" ht="21" customHeight="1" x14ac:dyDescent="0.25">
      <c r="A17" s="42" t="s">
        <v>313</v>
      </c>
      <c r="B17" s="29">
        <f>B16-B13</f>
        <v>5.3151559473759491E-2</v>
      </c>
      <c r="C17" s="44" t="s">
        <v>17</v>
      </c>
      <c r="D17" s="44" t="s">
        <v>314</v>
      </c>
      <c r="E17" s="42" t="s">
        <v>341</v>
      </c>
      <c r="F17" s="41" t="s">
        <v>315</v>
      </c>
    </row>
    <row r="18" spans="1:6" ht="21" customHeight="1" x14ac:dyDescent="0.25">
      <c r="A18" s="36" t="s">
        <v>316</v>
      </c>
      <c r="B18" s="9">
        <f>-'4_Flujo_de_Caja_y_VPN'!B20/'4_Flujo_de_Caja_y_VPN'!C20</f>
        <v>3.1794179491956482</v>
      </c>
      <c r="C18" s="45" t="s">
        <v>11</v>
      </c>
      <c r="D18" s="45" t="s">
        <v>344</v>
      </c>
      <c r="E18" s="36" t="s">
        <v>346</v>
      </c>
      <c r="F18" s="41" t="s">
        <v>317</v>
      </c>
    </row>
    <row r="19" spans="1:6" ht="21" customHeight="1" x14ac:dyDescent="0.25">
      <c r="A19" s="36" t="s">
        <v>318</v>
      </c>
      <c r="B19" s="9">
        <f>3+(-'4_Flujo_de_Caja_y_VPN'!E28/'4_Flujo_de_Caja_y_VPN'!F27)</f>
        <v>4.3909589069118136</v>
      </c>
      <c r="C19" s="45" t="s">
        <v>11</v>
      </c>
      <c r="D19" s="45" t="s">
        <v>345</v>
      </c>
      <c r="E19" s="36" t="s">
        <v>347</v>
      </c>
      <c r="F19" s="41" t="s">
        <v>317</v>
      </c>
    </row>
    <row r="20" spans="1:6" ht="21" customHeight="1" x14ac:dyDescent="0.25">
      <c r="A20" s="2" t="s">
        <v>319</v>
      </c>
      <c r="B20" s="47">
        <f>'4_Flujo_de_Caja_y_VPN'!C20/(-'4_Flujo_de_Caja_y_VPN'!B20)</f>
        <v>0.31452297746918961</v>
      </c>
      <c r="C20" s="4" t="s">
        <v>320</v>
      </c>
      <c r="D20" s="4" t="s">
        <v>321</v>
      </c>
      <c r="E20" s="2" t="s">
        <v>322</v>
      </c>
      <c r="F20" s="41" t="s">
        <v>309</v>
      </c>
    </row>
    <row r="21" spans="1:6" ht="21" customHeight="1" x14ac:dyDescent="0.25">
      <c r="A21" s="36" t="s">
        <v>323</v>
      </c>
      <c r="B21" s="46">
        <f>('4_Flujo_de_Caja_y_VPN'!H20+'4_Flujo_de_Caja_y_VPN'!B20)/(-'4_Flujo_de_Caja_y_VPN'!B20)</f>
        <v>0.65388422822368775</v>
      </c>
      <c r="C21" s="45" t="s">
        <v>324</v>
      </c>
      <c r="D21" s="45" t="s">
        <v>325</v>
      </c>
      <c r="E21" s="36" t="s">
        <v>326</v>
      </c>
      <c r="F21" s="41" t="s">
        <v>327</v>
      </c>
    </row>
  </sheetData>
  <mergeCells count="3">
    <mergeCell ref="A2:F2"/>
    <mergeCell ref="A1:F1"/>
    <mergeCell ref="A4:F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1_Parametros_y_Supuestos</vt:lpstr>
      <vt:lpstr>2_CAPEX_Inversion</vt:lpstr>
      <vt:lpstr>3_OPEX_y_Beneficios</vt:lpstr>
      <vt:lpstr>4_Flujo_de_Caja_y_VPN</vt:lpstr>
      <vt:lpstr>5_Dashboard_Ejecutivo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Felipe Salamanca</cp:lastModifiedBy>
  <dcterms:created xsi:type="dcterms:W3CDTF">2026-10-22T13:54:45Z</dcterms:created>
  <dcterms:modified xsi:type="dcterms:W3CDTF">2026-10-23T00:18:41Z</dcterms:modified>
</cp:coreProperties>
</file>